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xwe\Desktop\Delta_Alpha_BOND_NEW\"/>
    </mc:Choice>
  </mc:AlternateContent>
  <xr:revisionPtr revIDLastSave="0" documentId="13_ncr:1_{7268B07F-813A-418C-9F2D-9206823D6B1C}" xr6:coauthVersionLast="47" xr6:coauthVersionMax="47" xr10:uidLastSave="{00000000-0000-0000-0000-000000000000}"/>
  <bookViews>
    <workbookView xWindow="-44370" yWindow="825" windowWidth="41445" windowHeight="18525" activeTab="3" xr2:uid="{00000000-000D-0000-FFFF-FFFF00000000}"/>
  </bookViews>
  <sheets>
    <sheet name="Dashboard" sheetId="1" r:id="rId1"/>
    <sheet name="Contacts_Events" sheetId="2" r:id="rId2"/>
    <sheet name="Weekly_Plan" sheetId="3" r:id="rId3"/>
    <sheet name="Plan_90D" sheetId="4" r:id="rId4"/>
    <sheet name="Apr_2026" sheetId="5" r:id="rId5"/>
    <sheet name="May_202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4" i="1"/>
  <c r="B15" i="1" s="1"/>
  <c r="B13" i="1"/>
</calcChain>
</file>

<file path=xl/sharedStrings.xml><?xml version="1.0" encoding="utf-8"?>
<sst xmlns="http://schemas.openxmlformats.org/spreadsheetml/2006/main" count="1148" uniqueCount="267">
  <si>
    <t>Pittsburgh Job Search + Community Planner</t>
  </si>
  <si>
    <t>Plan basics</t>
  </si>
  <si>
    <t>Key targets</t>
  </si>
  <si>
    <t>Primary work window</t>
  </si>
  <si>
    <t>9:00 AM - 12:50 PM (Mon-Fri)</t>
  </si>
  <si>
    <t>LeetCode</t>
  </si>
  <si>
    <t>1-2 problems each weekday</t>
  </si>
  <si>
    <t>Target runway</t>
  </si>
  <si>
    <t>16 weeks (Apr 20 - Aug 7, 2026)</t>
  </si>
  <si>
    <t>Applications</t>
  </si>
  <si>
    <t>5-10 per week once resumes are ready</t>
  </si>
  <si>
    <t>Main role positioning</t>
  </si>
  <si>
    <t>Full Stack Software Engineer</t>
  </si>
  <si>
    <t>Networking</t>
  </si>
  <si>
    <t>2 outreach messages each week</t>
  </si>
  <si>
    <t>Secondary lane</t>
  </si>
  <si>
    <t>Data / ML roles where the posting truly fits</t>
  </si>
  <si>
    <t>Events</t>
  </si>
  <si>
    <t>1 local event or community touchpoint each month minimum</t>
  </si>
  <si>
    <t>Core stack</t>
  </si>
  <si>
    <t>MERN, SERN, TypeScript, C++, Python</t>
  </si>
  <si>
    <t>Git</t>
  </si>
  <si>
    <t>Commit / branch / push from real project work</t>
  </si>
  <si>
    <t>Daily anchors</t>
  </si>
  <si>
    <t>LeetCode, one main career/build block, DeltaPets, networking/applications, Git wrap-up</t>
  </si>
  <si>
    <t>DeltaPets</t>
  </si>
  <si>
    <t>30-minute protected block each weekday</t>
  </si>
  <si>
    <t>Website</t>
  </si>
  <si>
    <t>Get portfolio live, then improve it weekly</t>
  </si>
  <si>
    <t>Progress snapshot</t>
  </si>
  <si>
    <t>How to use this file</t>
  </si>
  <si>
    <t>Planned workdays</t>
  </si>
  <si>
    <t>1. Start each morning at 9:00 with the Plan_90D row for today.</t>
  </si>
  <si>
    <t>Days marked done</t>
  </si>
  <si>
    <t>2. Use Weekly_Plan on Monday to see that week's main targets.</t>
  </si>
  <si>
    <t>Completion rate</t>
  </si>
  <si>
    <t>3. Use Contacts_Events to email groups before showing up.</t>
  </si>
  <si>
    <t>Weeks in plan</t>
  </si>
  <si>
    <t>4. Print Dashboard + Weekly_Plan + current month sheet if you want paper nearby.</t>
  </si>
  <si>
    <t>Weeks marked done</t>
  </si>
  <si>
    <t>5. Update Status columns with Not Started / In Progress / Done / Missed.</t>
  </si>
  <si>
    <t>6. Keep DeltaPets in the schedule on purpose so it stays motivation, not drift.</t>
  </si>
  <si>
    <t>Emails + Event Sources to Contact First</t>
  </si>
  <si>
    <t>Name</t>
  </si>
  <si>
    <t>Type</t>
  </si>
  <si>
    <t>Contact</t>
  </si>
  <si>
    <t>What to ask</t>
  </si>
  <si>
    <t>Access note</t>
  </si>
  <si>
    <t>Source URL</t>
  </si>
  <si>
    <t>Status</t>
  </si>
  <si>
    <t>Pittsburgh Technology Council</t>
  </si>
  <si>
    <t>Tech org</t>
  </si>
  <si>
    <t>membershipinquires@pghtech.org</t>
  </si>
  <si>
    <t>Ask which events are open to individuals and early-career devs.</t>
  </si>
  <si>
    <t>More company-focused, but useful for public event listings and community connections.</t>
  </si>
  <si>
    <t>https://www.pghtech.org/contact-us</t>
  </si>
  <si>
    <t>Not Started</t>
  </si>
  <si>
    <t>Innovation Works</t>
  </si>
  <si>
    <t>Startup / tech ecosystem</t>
  </si>
  <si>
    <t>info@innovationworks.org</t>
  </si>
  <si>
    <t>Ask about founder/startup events, community programs, and where junior engineers can plug in.</t>
  </si>
  <si>
    <t>Good entry point for startup networking and AI/startup ecosystem.</t>
  </si>
  <si>
    <t>https://www.innovationworks.org/contact/</t>
  </si>
  <si>
    <t>HackPGH</t>
  </si>
  <si>
    <t>Makerspace / builder community</t>
  </si>
  <si>
    <t>info@hackpgh.org</t>
  </si>
  <si>
    <t>Ask about classes, open events, and beginner-friendly ways to get involved.</t>
  </si>
  <si>
    <t>Hands-on community; useful for meeting builders and makers.</t>
  </si>
  <si>
    <t>https://www.hackpgh.org/contact/</t>
  </si>
  <si>
    <t>PGH.AI</t>
  </si>
  <si>
    <t>AI community</t>
  </si>
  <si>
    <t>team@pgh.ai</t>
  </si>
  <si>
    <t>Ask about AI meetups, talks, and how newcomers can attend.</t>
  </si>
  <si>
    <t>Strong fit for AI networking in Pittsburgh.</t>
  </si>
  <si>
    <t>https://www.pgh.ai/</t>
  </si>
  <si>
    <t>PyData Pittsburgh</t>
  </si>
  <si>
    <t>Data / Python community</t>
  </si>
  <si>
    <t>organizers@pypgh.org</t>
  </si>
  <si>
    <t>Ask about upcoming meetups and whether there are beginner-friendly events.</t>
  </si>
  <si>
    <t>Good fit for Python, data, ML, and analytics conversations.</t>
  </si>
  <si>
    <t>https://news.pypgh.org/about</t>
  </si>
  <si>
    <t>Code &amp; Coffee Pittsburgh</t>
  </si>
  <si>
    <t>Developer meetup</t>
  </si>
  <si>
    <t>Message organizer via Meetup</t>
  </si>
  <si>
    <t>Ask if you can attend as a first-time visitor and what to expect.</t>
  </si>
  <si>
    <t>Community meetup; all skill levels welcome on the event page.</t>
  </si>
  <si>
    <t>https://www.meetup.com/code-and-coffee-pgh/</t>
  </si>
  <si>
    <t>Pitt Career Center (if alum / asking about public events)</t>
  </si>
  <si>
    <t>University career support</t>
  </si>
  <si>
    <t>careers@pitt.edu</t>
  </si>
  <si>
    <t>Ask about alumni support and public networking events.</t>
  </si>
  <si>
    <t>Best if you have Pitt ties, but also useful to ask about public-facing resources.</t>
  </si>
  <si>
    <t>https://careercentral.pitt.edu/channels/alumni/</t>
  </si>
  <si>
    <t>Duquesne Career Development (if alum / public events)</t>
  </si>
  <si>
    <t>careerdevelopment@duq.edu</t>
  </si>
  <si>
    <t>Ask about alumni resources and public networking opportunities.</t>
  </si>
  <si>
    <t>Best if you have Duquesne ties.</t>
  </si>
  <si>
    <t>https://www.duq.edu/life-at-duquesne/career-development/alumni.php</t>
  </si>
  <si>
    <t>CCAC Career Services</t>
  </si>
  <si>
    <t>University / alumni support</t>
  </si>
  <si>
    <t>careerservices@ccac.edu</t>
  </si>
  <si>
    <t>Ask about alumni support, internships, and local employer connections.</t>
  </si>
  <si>
    <t>Relevant since your associate degree is from CCAC.</t>
  </si>
  <si>
    <t>https://www.ccac.edu/student-support/career-services/index.php</t>
  </si>
  <si>
    <t>16-Week Plan (Apr 20 - Aug 7, 2026)</t>
  </si>
  <si>
    <t>Week</t>
  </si>
  <si>
    <t>Start</t>
  </si>
  <si>
    <t>End</t>
  </si>
  <si>
    <t>Main focus</t>
  </si>
  <si>
    <t>Notes</t>
  </si>
  <si>
    <t>Week 1</t>
  </si>
  <si>
    <t>Set up planner, send first outreach emails, outline website pages.</t>
  </si>
  <si>
    <t>Week 2</t>
  </si>
  <si>
    <t>Finish website skeleton, prepare screenshots, write project blurbs.</t>
  </si>
  <si>
    <t>Week 3</t>
  </si>
  <si>
    <t>Complete ATS resume, start software engineering resume.</t>
  </si>
  <si>
    <t>Week 4</t>
  </si>
  <si>
    <t>Finish software engineering resume, draft ML/data resume, tighten Git workflow.</t>
  </si>
  <si>
    <t>Week 5</t>
  </si>
  <si>
    <t>Upload at least 1 project to website, start consistent applications.</t>
  </si>
  <si>
    <t>Week 6</t>
  </si>
  <si>
    <t>Refine DeltaPets pitch, continue applications, follow up on outreach.</t>
  </si>
  <si>
    <t>Week 7</t>
  </si>
  <si>
    <t>Attend or line up first community event, keep portfolio improving.</t>
  </si>
  <si>
    <t>Week 8</t>
  </si>
  <si>
    <t>Interview prep week: LeetCode consistency + project explanation reps.</t>
  </si>
  <si>
    <t>Week 9</t>
  </si>
  <si>
    <t>Upload another project / polish debugger or C++ app page.</t>
  </si>
  <si>
    <t>Week 10</t>
  </si>
  <si>
    <t>Keep pipeline full: applications + networking + Git proof in repos.</t>
  </si>
  <si>
    <t>Week 11</t>
  </si>
  <si>
    <t>Mock interview week; fix weak answers and improve resume bullets.</t>
  </si>
  <si>
    <t>Week 12</t>
  </si>
  <si>
    <t>Go deeper on ML/data positioning only where roles truly fit.</t>
  </si>
  <si>
    <t>Week 13</t>
  </si>
  <si>
    <t>Second networking push: ask contacts what events or groups they recommend.</t>
  </si>
  <si>
    <t>Week 14</t>
  </si>
  <si>
    <t>Portfolio refresh: stronger screenshots, project summaries, cleaner homepage.</t>
  </si>
  <si>
    <t>Week 15</t>
  </si>
  <si>
    <t>Use interview feedback to sharpen stories and technical prep.</t>
  </si>
  <si>
    <t>Week 16</t>
  </si>
  <si>
    <t>Review 16-week run; decide what to double down on next.</t>
  </si>
  <si>
    <t>Day-by-Day Workday Plan (9:00 AM - 12:50 PM)</t>
  </si>
  <si>
    <t>Date</t>
  </si>
  <si>
    <t>Day</t>
  </si>
  <si>
    <t>Weekly theme</t>
  </si>
  <si>
    <t>9:00-9:15</t>
  </si>
  <si>
    <t>9:15-9:55</t>
  </si>
  <si>
    <t>9:55-11:05</t>
  </si>
  <si>
    <t>11:05-11:35</t>
  </si>
  <si>
    <t>11:35-12:15</t>
  </si>
  <si>
    <t>12:15-12:50</t>
  </si>
  <si>
    <t>Due by</t>
  </si>
  <si>
    <t>Priority outcome</t>
  </si>
  <si>
    <t>Monday</t>
  </si>
  <si>
    <t>Week 1: Set up planner, send first outreach emails, outline website pages.</t>
  </si>
  <si>
    <t>Plan day + set top 3</t>
  </si>
  <si>
    <t>Website / weekly planning</t>
  </si>
  <si>
    <t>Outreach / networking</t>
  </si>
  <si>
    <t>Git wrap-up + set tomorrow</t>
  </si>
  <si>
    <t>12:50 PM</t>
  </si>
  <si>
    <t>One website improvement + 2 outreach actions</t>
  </si>
  <si>
    <t>Tuesday</t>
  </si>
  <si>
    <t>Upload project / website content</t>
  </si>
  <si>
    <t>Check one community or event source</t>
  </si>
  <si>
    <t>One portfolio improvement published</t>
  </si>
  <si>
    <t>Wednesday</t>
  </si>
  <si>
    <t>ATS + software engineering resume</t>
  </si>
  <si>
    <t>Job search / LinkedIn / follow-up</t>
  </si>
  <si>
    <t>Resume section improved or tailored</t>
  </si>
  <si>
    <t>Thursday</t>
  </si>
  <si>
    <t>ML/data resume + Git practice</t>
  </si>
  <si>
    <t>Research target companies / community touchpoint</t>
  </si>
  <si>
    <t>One ML/data bullet refined + clean repo activity</t>
  </si>
  <si>
    <t>Friday</t>
  </si>
  <si>
    <t>Applications + event check</t>
  </si>
  <si>
    <t>Weekly review / follow-up</t>
  </si>
  <si>
    <t>Git wrap-up + next-week note</t>
  </si>
  <si>
    <t>Applications sent + next week scoped</t>
  </si>
  <si>
    <t>Week 2: Finish website skeleton, prepare screenshots, write project blurbs.</t>
  </si>
  <si>
    <t>Week 3: Complete ATS resume, start software engineering resume.</t>
  </si>
  <si>
    <t>Week 4: Finish software engineering resume, draft ML/data resume, tighten Git workflow.</t>
  </si>
  <si>
    <t>Week 5: Upload at least 1 project to website, start consistent applications.</t>
  </si>
  <si>
    <t>Week 6: Refine DeltaPets pitch, continue applications, follow up on outreach.</t>
  </si>
  <si>
    <t>Week 7: Attend or line up first community event, keep portfolio improving.</t>
  </si>
  <si>
    <t>Week 8: Interview prep week: LeetCode consistency + project explanation reps.</t>
  </si>
  <si>
    <t>Week 9: Upload another project / polish debugger or C++ app page.</t>
  </si>
  <si>
    <t>Week 10: Keep pipeline full: applications + networking + Git proof in repos.</t>
  </si>
  <si>
    <t>Week 11: Mock interview week; fix weak answers and improve resume bullets.</t>
  </si>
  <si>
    <t>Week 12: Go deeper on ML/data positioning only where roles truly fit.</t>
  </si>
  <si>
    <t>Week 13: Second networking push: ask contacts what events or groups they recommend.</t>
  </si>
  <si>
    <t>Week 14: Portfolio refresh: stronger screenshots, project summaries, cleaner homepage.</t>
  </si>
  <si>
    <t>Week 15: Use interview feedback to sharpen stories and technical prep.</t>
  </si>
  <si>
    <t>Week 16: Review 16-week run; decide what to double down on next.</t>
  </si>
  <si>
    <t>April 2026</t>
  </si>
  <si>
    <t>Saturday</t>
  </si>
  <si>
    <t>Sunday</t>
  </si>
  <si>
    <t>30</t>
  </si>
  <si>
    <t>31</t>
  </si>
  <si>
    <t>1
Wed: ATS + SWE resume</t>
  </si>
  <si>
    <t>2
Thu: ML resume + Git</t>
  </si>
  <si>
    <t>3
Fri: apply + event check</t>
  </si>
  <si>
    <t>4
Sat: optional event / light work</t>
  </si>
  <si>
    <t>5
Sun: weekly reset only</t>
  </si>
  <si>
    <t>6
Mon: website + outreach</t>
  </si>
  <si>
    <t>7
Tue: portfolio upload</t>
  </si>
  <si>
    <t>8
Wed: ATS + SWE resume</t>
  </si>
  <si>
    <t>9
Thu: ML resume + Git</t>
  </si>
  <si>
    <t>10
Fri: apply + event check</t>
  </si>
  <si>
    <t>11
Sat: optional event / light work</t>
  </si>
  <si>
    <t>12
Sun: weekly reset only</t>
  </si>
  <si>
    <t>13
Mon: website + outreach</t>
  </si>
  <si>
    <t>14
Tue: portfolio upload</t>
  </si>
  <si>
    <t>15
Wed: ATS + SWE resume</t>
  </si>
  <si>
    <t>16
Thu: ML resume + Git</t>
  </si>
  <si>
    <t>17
Fri: apply + event check</t>
  </si>
  <si>
    <t>18
Sat: optional event / light work</t>
  </si>
  <si>
    <t>19
Sun: weekly reset only</t>
  </si>
  <si>
    <t>20
Start plan
Send first outreach emails
Set up calendar + task app</t>
  </si>
  <si>
    <t>21
Website skeleton
Homepage + nav</t>
  </si>
  <si>
    <t>22
ATS resume
Project bullets</t>
  </si>
  <si>
    <t>23
ML/data resume
Git workflow</t>
  </si>
  <si>
    <t>24
Apply + event scan
Weekly review</t>
  </si>
  <si>
    <t>25
Sat: optional event / light work</t>
  </si>
  <si>
    <t>26
Sun: weekly reset only</t>
  </si>
  <si>
    <t>27
Upload project
Screenshots</t>
  </si>
  <si>
    <t>28
Website content
Project summary</t>
  </si>
  <si>
    <t>29
SWE resume polish</t>
  </si>
  <si>
    <t>30
ML resume polish</t>
  </si>
  <si>
    <t>1</t>
  </si>
  <si>
    <t>2</t>
  </si>
  <si>
    <t>3</t>
  </si>
  <si>
    <t>May 2026</t>
  </si>
  <si>
    <t>27</t>
  </si>
  <si>
    <t>28</t>
  </si>
  <si>
    <t>29</t>
  </si>
  <si>
    <t>1
Applications + review</t>
  </si>
  <si>
    <t>2
Sat: optional event / light work</t>
  </si>
  <si>
    <t>3
Sun: weekly reset only</t>
  </si>
  <si>
    <t>4
Week 3 starts
ATS + SWE resume focus</t>
  </si>
  <si>
    <t>5
Tue: portfolio upload</t>
  </si>
  <si>
    <t>6
Wed: ATS + SWE resume</t>
  </si>
  <si>
    <t>7
Thu: ML resume + Git</t>
  </si>
  <si>
    <t>8
Fri: apply + event check</t>
  </si>
  <si>
    <t>9
Code &amp; Coffee
1:30-3:30 PM
Prototype PGH</t>
  </si>
  <si>
    <t>10
Sun: weekly reset only</t>
  </si>
  <si>
    <t>11
Week 4 starts
ML resume + Git</t>
  </si>
  <si>
    <t>12
Tue: portfolio upload</t>
  </si>
  <si>
    <t>13
Wed: ATS + SWE resume</t>
  </si>
  <si>
    <t>14
Thu: ML resume + Git</t>
  </si>
  <si>
    <t>15
Fri: apply + event check</t>
  </si>
  <si>
    <t>16
Sat: optional event / light work</t>
  </si>
  <si>
    <t>17
Sun: weekly reset only</t>
  </si>
  <si>
    <t>18
Week 5 starts
Applications begin</t>
  </si>
  <si>
    <t>19
Tue: portfolio upload</t>
  </si>
  <si>
    <t>20
Wed: ATS + SWE resume</t>
  </si>
  <si>
    <t>21
Thu: ML resume + Git</t>
  </si>
  <si>
    <t>22
Fri: apply + event check</t>
  </si>
  <si>
    <t>23
Sat: optional event / light work</t>
  </si>
  <si>
    <t>24
Sun: weekly reset only</t>
  </si>
  <si>
    <t>25
Week 6 starts
DeltaPets pitch + follow-up</t>
  </si>
  <si>
    <t>26
Tue: portfolio upload</t>
  </si>
  <si>
    <t>27
Wed: ATS + SWE resume</t>
  </si>
  <si>
    <t>28
Thu: ML resume + Git</t>
  </si>
  <si>
    <t>29
Fri: apply + event check</t>
  </si>
  <si>
    <t>30
Sat: optional event / light work</t>
  </si>
  <si>
    <t>31
Sun: weekly reset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</si>
</sst>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sz val="11"/>
      <color rgb="FF1F2937"/>
      <name val="Carlito"/>
    </font>
    <font>
      <sz val="11"/>
      <color rgb="FF9CA3AF"/>
      <name val="Carlito"/>
    </font>
    <font>
      <sz val="14"/>
      <color rgb="FF1F2937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7D7F0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9" fontId="3" fillId="0" borderId="7" xfId="0" applyNumberFormat="1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164" fontId="3" fillId="0" borderId="11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horizontal="left" vertical="top" wrapText="1"/>
    </xf>
    <xf numFmtId="0" fontId="0" fillId="0" borderId="0" xfId="0"/>
    <xf numFmtId="0" fontId="3" fillId="6" borderId="1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11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3F4F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DE9D9"/>
        </patternFill>
      </fill>
    </dxf>
    <dxf>
      <fill>
        <patternFill patternType="solid">
          <bgColor rgb="FFEAF4F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">
      <a:maj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sqref="A1:H1"/>
    </sheetView>
  </sheetViews>
  <sheetFormatPr defaultRowHeight="14.25"/>
  <cols>
    <col min="1" max="1" width="24" customWidth="1"/>
    <col min="2" max="2" width="42" customWidth="1"/>
    <col min="4" max="4" width="18" customWidth="1"/>
    <col min="5" max="5" width="36" customWidth="1"/>
    <col min="6" max="8" width="22" customWidth="1"/>
  </cols>
  <sheetData>
    <row r="1" spans="1:8" ht="27.95" customHeight="1">
      <c r="A1" s="30" t="s">
        <v>0</v>
      </c>
      <c r="B1" s="31"/>
      <c r="C1" s="31"/>
      <c r="D1" s="31"/>
      <c r="E1" s="31"/>
      <c r="F1" s="31"/>
      <c r="G1" s="31"/>
      <c r="H1" s="32"/>
    </row>
    <row r="3" spans="1:8" ht="21.95" customHeight="1">
      <c r="A3" s="1" t="s">
        <v>1</v>
      </c>
      <c r="B3" s="2"/>
      <c r="D3" s="1" t="s">
        <v>2</v>
      </c>
      <c r="E3" s="2"/>
    </row>
    <row r="4" spans="1:8" ht="30" customHeight="1">
      <c r="A4" s="3" t="s">
        <v>3</v>
      </c>
      <c r="B4" s="4" t="s">
        <v>4</v>
      </c>
      <c r="D4" s="3" t="s">
        <v>5</v>
      </c>
      <c r="E4" s="4" t="s">
        <v>6</v>
      </c>
      <c r="F4" s="23"/>
      <c r="G4" s="23"/>
      <c r="H4" s="23"/>
    </row>
    <row r="5" spans="1:8" ht="30" customHeight="1">
      <c r="A5" s="5" t="s">
        <v>7</v>
      </c>
      <c r="B5" s="6" t="s">
        <v>8</v>
      </c>
      <c r="D5" s="5" t="s">
        <v>9</v>
      </c>
      <c r="E5" s="6" t="s">
        <v>10</v>
      </c>
      <c r="F5" s="23"/>
      <c r="G5" s="23"/>
      <c r="H5" s="23"/>
    </row>
    <row r="6" spans="1:8" ht="30" customHeight="1">
      <c r="A6" s="5" t="s">
        <v>11</v>
      </c>
      <c r="B6" s="6" t="s">
        <v>12</v>
      </c>
      <c r="D6" s="5" t="s">
        <v>13</v>
      </c>
      <c r="E6" s="6" t="s">
        <v>14</v>
      </c>
      <c r="F6" s="23"/>
      <c r="G6" s="23"/>
      <c r="H6" s="23"/>
    </row>
    <row r="7" spans="1:8" ht="30" customHeight="1">
      <c r="A7" s="5" t="s">
        <v>15</v>
      </c>
      <c r="B7" s="6" t="s">
        <v>16</v>
      </c>
      <c r="D7" s="5" t="s">
        <v>17</v>
      </c>
      <c r="E7" s="6" t="s">
        <v>18</v>
      </c>
      <c r="F7" s="23"/>
      <c r="G7" s="23"/>
      <c r="H7" s="23"/>
    </row>
    <row r="8" spans="1:8" ht="30" customHeight="1">
      <c r="A8" s="5" t="s">
        <v>19</v>
      </c>
      <c r="B8" s="6" t="s">
        <v>20</v>
      </c>
      <c r="D8" s="5" t="s">
        <v>21</v>
      </c>
      <c r="E8" s="6" t="s">
        <v>22</v>
      </c>
      <c r="F8" s="23"/>
      <c r="G8" s="23"/>
      <c r="H8" s="23"/>
    </row>
    <row r="9" spans="1:8" ht="30" customHeight="1">
      <c r="A9" s="7" t="s">
        <v>23</v>
      </c>
      <c r="B9" s="8" t="s">
        <v>24</v>
      </c>
      <c r="D9" s="5" t="s">
        <v>25</v>
      </c>
      <c r="E9" s="6" t="s">
        <v>26</v>
      </c>
      <c r="F9" s="23"/>
      <c r="G9" s="23"/>
      <c r="H9" s="23"/>
    </row>
    <row r="10" spans="1:8">
      <c r="D10" s="7" t="s">
        <v>27</v>
      </c>
      <c r="E10" s="8" t="s">
        <v>28</v>
      </c>
      <c r="F10" s="23"/>
      <c r="G10" s="23"/>
      <c r="H10" s="23"/>
    </row>
    <row r="11" spans="1:8">
      <c r="D11" s="23"/>
      <c r="E11" s="23"/>
      <c r="F11" s="23"/>
      <c r="G11" s="23"/>
      <c r="H11" s="23"/>
    </row>
    <row r="12" spans="1:8" ht="21.95" customHeight="1">
      <c r="A12" s="1" t="s">
        <v>29</v>
      </c>
      <c r="B12" s="2"/>
      <c r="D12" s="24" t="s">
        <v>30</v>
      </c>
      <c r="E12" s="25"/>
      <c r="F12" s="25"/>
      <c r="G12" s="25"/>
      <c r="H12" s="26"/>
    </row>
    <row r="13" spans="1:8" ht="30" customHeight="1">
      <c r="A13" s="3" t="s">
        <v>31</v>
      </c>
      <c r="B13" s="4">
        <f>COUNTA(Plan_90D!A4:A500)</f>
        <v>80</v>
      </c>
      <c r="D13" s="40" t="s">
        <v>32</v>
      </c>
      <c r="E13" s="41"/>
      <c r="F13" s="41"/>
      <c r="G13" s="41"/>
      <c r="H13" s="42"/>
    </row>
    <row r="14" spans="1:8" ht="30" customHeight="1">
      <c r="A14" s="5" t="s">
        <v>33</v>
      </c>
      <c r="B14" s="6">
        <f>COUNTIF(Plan_90D!L4:L500,"Done")</f>
        <v>0</v>
      </c>
      <c r="D14" s="34" t="s">
        <v>34</v>
      </c>
      <c r="E14" s="35"/>
      <c r="F14" s="35"/>
      <c r="G14" s="35"/>
      <c r="H14" s="36"/>
    </row>
    <row r="15" spans="1:8" ht="30" customHeight="1">
      <c r="A15" s="5" t="s">
        <v>35</v>
      </c>
      <c r="B15" s="9">
        <f>IFERROR(B14/B13,0)</f>
        <v>0</v>
      </c>
      <c r="D15" s="34" t="s">
        <v>36</v>
      </c>
      <c r="E15" s="35"/>
      <c r="F15" s="35"/>
      <c r="G15" s="35"/>
      <c r="H15" s="36"/>
    </row>
    <row r="16" spans="1:8" ht="30" customHeight="1">
      <c r="A16" s="5" t="s">
        <v>37</v>
      </c>
      <c r="B16" s="22">
        <f>COUNTA(Weekly_Plan!A4:A100)</f>
        <v>16</v>
      </c>
      <c r="D16" s="34" t="s">
        <v>38</v>
      </c>
      <c r="E16" s="35"/>
      <c r="F16" s="35"/>
      <c r="G16" s="35"/>
      <c r="H16" s="36"/>
    </row>
    <row r="17" spans="1:8" ht="30" customHeight="1">
      <c r="A17" s="7" t="s">
        <v>39</v>
      </c>
      <c r="B17" s="8">
        <f>COUNTIF(Weekly_Plan!E4:E100,"Done")</f>
        <v>0</v>
      </c>
      <c r="D17" s="34" t="s">
        <v>40</v>
      </c>
      <c r="E17" s="35"/>
      <c r="F17" s="35"/>
      <c r="G17" s="35"/>
      <c r="H17" s="36"/>
    </row>
    <row r="18" spans="1:8" ht="30" customHeight="1">
      <c r="D18" s="37" t="s">
        <v>41</v>
      </c>
      <c r="E18" s="38"/>
      <c r="F18" s="38"/>
      <c r="G18" s="38"/>
      <c r="H18" s="39"/>
    </row>
  </sheetData>
  <mergeCells count="7">
    <mergeCell ref="D17:H17"/>
    <mergeCell ref="D18:H18"/>
    <mergeCell ref="A1:H1"/>
    <mergeCell ref="D13:H13"/>
    <mergeCell ref="D14:H14"/>
    <mergeCell ref="D15:H15"/>
    <mergeCell ref="D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sqref="A1:G1"/>
    </sheetView>
  </sheetViews>
  <sheetFormatPr defaultRowHeight="14.25"/>
  <cols>
    <col min="1" max="1" width="24" customWidth="1"/>
    <col min="2" max="2" width="20" customWidth="1"/>
    <col min="3" max="3" width="28" customWidth="1"/>
    <col min="4" max="4" width="34" customWidth="1"/>
    <col min="5" max="5" width="28" customWidth="1"/>
    <col min="6" max="6" width="42" customWidth="1"/>
    <col min="7" max="7" width="14" customWidth="1"/>
  </cols>
  <sheetData>
    <row r="1" spans="1:7" ht="26.1" customHeight="1">
      <c r="A1" s="30" t="s">
        <v>42</v>
      </c>
      <c r="B1" s="31"/>
      <c r="C1" s="31"/>
      <c r="D1" s="31"/>
      <c r="E1" s="31"/>
      <c r="F1" s="31"/>
      <c r="G1" s="32"/>
    </row>
    <row r="3" spans="1:7" ht="15">
      <c r="A3" s="13" t="s">
        <v>43</v>
      </c>
      <c r="B3" s="14" t="s">
        <v>44</v>
      </c>
      <c r="C3" s="14" t="s">
        <v>45</v>
      </c>
      <c r="D3" s="14" t="s">
        <v>46</v>
      </c>
      <c r="E3" s="14" t="s">
        <v>47</v>
      </c>
      <c r="F3" s="14" t="s">
        <v>48</v>
      </c>
      <c r="G3" s="15" t="s">
        <v>49</v>
      </c>
    </row>
    <row r="4" spans="1:7" ht="42.75">
      <c r="A4" s="3" t="s">
        <v>50</v>
      </c>
      <c r="B4" s="10" t="s">
        <v>51</v>
      </c>
      <c r="C4" s="10" t="s">
        <v>52</v>
      </c>
      <c r="D4" s="10" t="s">
        <v>53</v>
      </c>
      <c r="E4" s="10" t="s">
        <v>54</v>
      </c>
      <c r="F4" s="10" t="s">
        <v>55</v>
      </c>
      <c r="G4" s="4" t="s">
        <v>56</v>
      </c>
    </row>
    <row r="5" spans="1:7" ht="42.75">
      <c r="A5" s="5" t="s">
        <v>57</v>
      </c>
      <c r="B5" s="11" t="s">
        <v>58</v>
      </c>
      <c r="C5" s="11" t="s">
        <v>59</v>
      </c>
      <c r="D5" s="11" t="s">
        <v>60</v>
      </c>
      <c r="E5" s="11" t="s">
        <v>61</v>
      </c>
      <c r="F5" s="11" t="s">
        <v>62</v>
      </c>
      <c r="G5" s="6" t="s">
        <v>56</v>
      </c>
    </row>
    <row r="6" spans="1:7" ht="28.5">
      <c r="A6" s="5" t="s">
        <v>63</v>
      </c>
      <c r="B6" s="11" t="s">
        <v>64</v>
      </c>
      <c r="C6" s="11" t="s">
        <v>65</v>
      </c>
      <c r="D6" s="11" t="s">
        <v>66</v>
      </c>
      <c r="E6" s="11" t="s">
        <v>67</v>
      </c>
      <c r="F6" s="11" t="s">
        <v>68</v>
      </c>
      <c r="G6" s="6" t="s">
        <v>56</v>
      </c>
    </row>
    <row r="7" spans="1:7" ht="28.5">
      <c r="A7" s="5" t="s">
        <v>69</v>
      </c>
      <c r="B7" s="11" t="s">
        <v>70</v>
      </c>
      <c r="C7" s="11" t="s">
        <v>71</v>
      </c>
      <c r="D7" s="11" t="s">
        <v>72</v>
      </c>
      <c r="E7" s="11" t="s">
        <v>73</v>
      </c>
      <c r="F7" s="11" t="s">
        <v>74</v>
      </c>
      <c r="G7" s="6" t="s">
        <v>56</v>
      </c>
    </row>
    <row r="8" spans="1:7" ht="42.75">
      <c r="A8" s="5" t="s">
        <v>75</v>
      </c>
      <c r="B8" s="11" t="s">
        <v>76</v>
      </c>
      <c r="C8" s="11" t="s">
        <v>77</v>
      </c>
      <c r="D8" s="11" t="s">
        <v>78</v>
      </c>
      <c r="E8" s="11" t="s">
        <v>79</v>
      </c>
      <c r="F8" s="11" t="s">
        <v>80</v>
      </c>
      <c r="G8" s="6" t="s">
        <v>56</v>
      </c>
    </row>
    <row r="9" spans="1:7" ht="42.75">
      <c r="A9" s="5" t="s">
        <v>81</v>
      </c>
      <c r="B9" s="11" t="s">
        <v>82</v>
      </c>
      <c r="C9" s="11" t="s">
        <v>83</v>
      </c>
      <c r="D9" s="11" t="s">
        <v>84</v>
      </c>
      <c r="E9" s="11" t="s">
        <v>85</v>
      </c>
      <c r="F9" s="11" t="s">
        <v>86</v>
      </c>
      <c r="G9" s="6" t="s">
        <v>56</v>
      </c>
    </row>
    <row r="10" spans="1:7" ht="42.75">
      <c r="A10" s="5" t="s">
        <v>87</v>
      </c>
      <c r="B10" s="11" t="s">
        <v>88</v>
      </c>
      <c r="C10" s="11" t="s">
        <v>89</v>
      </c>
      <c r="D10" s="11" t="s">
        <v>90</v>
      </c>
      <c r="E10" s="11" t="s">
        <v>91</v>
      </c>
      <c r="F10" s="11" t="s">
        <v>92</v>
      </c>
      <c r="G10" s="6" t="s">
        <v>56</v>
      </c>
    </row>
    <row r="11" spans="1:7" ht="42.75">
      <c r="A11" s="5" t="s">
        <v>93</v>
      </c>
      <c r="B11" s="11" t="s">
        <v>88</v>
      </c>
      <c r="C11" s="11" t="s">
        <v>94</v>
      </c>
      <c r="D11" s="11" t="s">
        <v>95</v>
      </c>
      <c r="E11" s="11" t="s">
        <v>96</v>
      </c>
      <c r="F11" s="11" t="s">
        <v>97</v>
      </c>
      <c r="G11" s="6" t="s">
        <v>56</v>
      </c>
    </row>
    <row r="12" spans="1:7" ht="28.5">
      <c r="A12" s="7" t="s">
        <v>98</v>
      </c>
      <c r="B12" s="12" t="s">
        <v>99</v>
      </c>
      <c r="C12" s="12" t="s">
        <v>100</v>
      </c>
      <c r="D12" s="12" t="s">
        <v>101</v>
      </c>
      <c r="E12" s="12" t="s">
        <v>102</v>
      </c>
      <c r="F12" s="12" t="s">
        <v>103</v>
      </c>
      <c r="G12" s="8" t="s">
        <v>56</v>
      </c>
    </row>
  </sheetData>
  <mergeCells count="1">
    <mergeCell ref="A1:G1"/>
  </mergeCells>
  <conditionalFormatting sqref="G4:G12">
    <cfRule type="expression" dxfId="10" priority="1">
      <formula>G4="Sent"</formula>
    </cfRule>
    <cfRule type="expression" dxfId="9" priority="2">
      <formula>G4="Replied"</formula>
    </cfRule>
    <cfRule type="expression" dxfId="8" priority="3">
      <formula>G4="Closed"</formula>
    </cfRule>
    <cfRule type="expression" dxfId="7" priority="4">
      <formula>G4="Waiting"</formula>
    </cfRule>
  </conditionalFormatting>
  <dataValidations count="1">
    <dataValidation type="list" sqref="G4:G12" xr:uid="{00000000-0002-0000-0100-000000000000}">
      <formula1>"Not Started,Sent,Waiting,Replied,Closed"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sqref="A1:F1"/>
    </sheetView>
  </sheetViews>
  <sheetFormatPr defaultRowHeight="14.25"/>
  <cols>
    <col min="1" max="1" width="12" customWidth="1"/>
    <col min="2" max="3" width="14" customWidth="1"/>
    <col min="4" max="4" width="46" customWidth="1"/>
    <col min="5" max="5" width="14" customWidth="1"/>
    <col min="6" max="6" width="28" customWidth="1"/>
  </cols>
  <sheetData>
    <row r="1" spans="1:6" ht="26.1" customHeight="1">
      <c r="A1" s="30" t="s">
        <v>104</v>
      </c>
      <c r="B1" s="31"/>
      <c r="C1" s="31"/>
      <c r="D1" s="31"/>
      <c r="E1" s="31"/>
      <c r="F1" s="32"/>
    </row>
    <row r="3" spans="1:6" ht="15">
      <c r="A3" s="13" t="s">
        <v>105</v>
      </c>
      <c r="B3" s="14" t="s">
        <v>106</v>
      </c>
      <c r="C3" s="14" t="s">
        <v>107</v>
      </c>
      <c r="D3" s="14" t="s">
        <v>108</v>
      </c>
      <c r="E3" s="14" t="s">
        <v>49</v>
      </c>
      <c r="F3" s="15" t="s">
        <v>109</v>
      </c>
    </row>
    <row r="4" spans="1:6" ht="28.5">
      <c r="A4" s="3" t="s">
        <v>110</v>
      </c>
      <c r="B4" s="16">
        <v>46132</v>
      </c>
      <c r="C4" s="16">
        <v>46136</v>
      </c>
      <c r="D4" s="10" t="s">
        <v>111</v>
      </c>
      <c r="E4" s="10" t="s">
        <v>56</v>
      </c>
      <c r="F4" s="4"/>
    </row>
    <row r="5" spans="1:6" ht="28.5">
      <c r="A5" s="5" t="s">
        <v>112</v>
      </c>
      <c r="B5" s="17">
        <v>46139</v>
      </c>
      <c r="C5" s="17">
        <v>46143</v>
      </c>
      <c r="D5" s="11" t="s">
        <v>113</v>
      </c>
      <c r="E5" s="11" t="s">
        <v>56</v>
      </c>
      <c r="F5" s="6"/>
    </row>
    <row r="6" spans="1:6" ht="28.5">
      <c r="A6" s="5" t="s">
        <v>114</v>
      </c>
      <c r="B6" s="17">
        <v>46146</v>
      </c>
      <c r="C6" s="17">
        <v>46150</v>
      </c>
      <c r="D6" s="11" t="s">
        <v>115</v>
      </c>
      <c r="E6" s="11" t="s">
        <v>56</v>
      </c>
      <c r="F6" s="6"/>
    </row>
    <row r="7" spans="1:6" ht="28.5">
      <c r="A7" s="5" t="s">
        <v>116</v>
      </c>
      <c r="B7" s="17">
        <v>46153</v>
      </c>
      <c r="C7" s="17">
        <v>46157</v>
      </c>
      <c r="D7" s="11" t="s">
        <v>117</v>
      </c>
      <c r="E7" s="11" t="s">
        <v>56</v>
      </c>
      <c r="F7" s="6"/>
    </row>
    <row r="8" spans="1:6" ht="28.5">
      <c r="A8" s="5" t="s">
        <v>118</v>
      </c>
      <c r="B8" s="17">
        <v>46160</v>
      </c>
      <c r="C8" s="17">
        <v>46164</v>
      </c>
      <c r="D8" s="11" t="s">
        <v>119</v>
      </c>
      <c r="E8" s="11" t="s">
        <v>56</v>
      </c>
      <c r="F8" s="6"/>
    </row>
    <row r="9" spans="1:6" ht="28.5">
      <c r="A9" s="5" t="s">
        <v>120</v>
      </c>
      <c r="B9" s="17">
        <v>46167</v>
      </c>
      <c r="C9" s="17">
        <v>46171</v>
      </c>
      <c r="D9" s="11" t="s">
        <v>121</v>
      </c>
      <c r="E9" s="11" t="s">
        <v>56</v>
      </c>
      <c r="F9" s="6"/>
    </row>
    <row r="10" spans="1:6" ht="28.5">
      <c r="A10" s="5" t="s">
        <v>122</v>
      </c>
      <c r="B10" s="17">
        <v>46174</v>
      </c>
      <c r="C10" s="17">
        <v>46178</v>
      </c>
      <c r="D10" s="11" t="s">
        <v>123</v>
      </c>
      <c r="E10" s="11" t="s">
        <v>56</v>
      </c>
      <c r="F10" s="6"/>
    </row>
    <row r="11" spans="1:6" ht="28.5">
      <c r="A11" s="5" t="s">
        <v>124</v>
      </c>
      <c r="B11" s="17">
        <v>46181</v>
      </c>
      <c r="C11" s="17">
        <v>46185</v>
      </c>
      <c r="D11" s="11" t="s">
        <v>125</v>
      </c>
      <c r="E11" s="11" t="s">
        <v>56</v>
      </c>
      <c r="F11" s="6"/>
    </row>
    <row r="12" spans="1:6" ht="28.5">
      <c r="A12" s="5" t="s">
        <v>126</v>
      </c>
      <c r="B12" s="17">
        <v>46188</v>
      </c>
      <c r="C12" s="17">
        <v>46192</v>
      </c>
      <c r="D12" s="11" t="s">
        <v>127</v>
      </c>
      <c r="E12" s="11" t="s">
        <v>56</v>
      </c>
      <c r="F12" s="6"/>
    </row>
    <row r="13" spans="1:6" ht="28.5">
      <c r="A13" s="5" t="s">
        <v>128</v>
      </c>
      <c r="B13" s="17">
        <v>46195</v>
      </c>
      <c r="C13" s="17">
        <v>46199</v>
      </c>
      <c r="D13" s="11" t="s">
        <v>129</v>
      </c>
      <c r="E13" s="11" t="s">
        <v>56</v>
      </c>
      <c r="F13" s="6"/>
    </row>
    <row r="14" spans="1:6" ht="28.5">
      <c r="A14" s="5" t="s">
        <v>130</v>
      </c>
      <c r="B14" s="17">
        <v>46202</v>
      </c>
      <c r="C14" s="17">
        <v>46206</v>
      </c>
      <c r="D14" s="11" t="s">
        <v>131</v>
      </c>
      <c r="E14" s="11" t="s">
        <v>56</v>
      </c>
      <c r="F14" s="6"/>
    </row>
    <row r="15" spans="1:6" ht="28.5">
      <c r="A15" s="5" t="s">
        <v>132</v>
      </c>
      <c r="B15" s="17">
        <v>46209</v>
      </c>
      <c r="C15" s="17">
        <v>46213</v>
      </c>
      <c r="D15" s="11" t="s">
        <v>133</v>
      </c>
      <c r="E15" s="11" t="s">
        <v>56</v>
      </c>
      <c r="F15" s="6"/>
    </row>
    <row r="16" spans="1:6" ht="28.5">
      <c r="A16" s="5" t="s">
        <v>134</v>
      </c>
      <c r="B16" s="17">
        <v>46216</v>
      </c>
      <c r="C16" s="17">
        <v>46220</v>
      </c>
      <c r="D16" s="11" t="s">
        <v>135</v>
      </c>
      <c r="E16" s="11" t="s">
        <v>56</v>
      </c>
      <c r="F16" s="6"/>
    </row>
    <row r="17" spans="1:6" ht="28.5">
      <c r="A17" s="5" t="s">
        <v>136</v>
      </c>
      <c r="B17" s="17">
        <v>46223</v>
      </c>
      <c r="C17" s="17">
        <v>46227</v>
      </c>
      <c r="D17" s="11" t="s">
        <v>137</v>
      </c>
      <c r="E17" s="11" t="s">
        <v>56</v>
      </c>
      <c r="F17" s="6"/>
    </row>
    <row r="18" spans="1:6" ht="28.5">
      <c r="A18" s="5" t="s">
        <v>138</v>
      </c>
      <c r="B18" s="17">
        <v>46230</v>
      </c>
      <c r="C18" s="17">
        <v>46234</v>
      </c>
      <c r="D18" s="11" t="s">
        <v>139</v>
      </c>
      <c r="E18" s="11" t="s">
        <v>56</v>
      </c>
      <c r="F18" s="6"/>
    </row>
    <row r="19" spans="1:6" ht="28.5">
      <c r="A19" s="7" t="s">
        <v>140</v>
      </c>
      <c r="B19" s="18">
        <v>46237</v>
      </c>
      <c r="C19" s="18">
        <v>46241</v>
      </c>
      <c r="D19" s="12" t="s">
        <v>141</v>
      </c>
      <c r="E19" s="12" t="s">
        <v>56</v>
      </c>
      <c r="F19" s="8"/>
    </row>
  </sheetData>
  <mergeCells count="1">
    <mergeCell ref="A1:F1"/>
  </mergeCells>
  <conditionalFormatting sqref="E4:E19">
    <cfRule type="expression" dxfId="6" priority="1">
      <formula>E4="Done"</formula>
    </cfRule>
    <cfRule type="expression" dxfId="5" priority="2">
      <formula>E4="In Progress"</formula>
    </cfRule>
    <cfRule type="expression" dxfId="4" priority="3">
      <formula>E4="Missed"</formula>
    </cfRule>
  </conditionalFormatting>
  <dataValidations count="1">
    <dataValidation type="list" sqref="E4:E19" xr:uid="{00000000-0002-0000-0200-000000000000}">
      <formula1>"Not Started,In Progress,Done,Missed"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83"/>
  <sheetViews>
    <sheetView tabSelected="1" view="pageBreakPreview" topLeftCell="A5" zoomScale="60" zoomScaleNormal="100" workbookViewId="0">
      <selection activeCell="A5" sqref="A5:L8"/>
    </sheetView>
  </sheetViews>
  <sheetFormatPr defaultRowHeight="14.25"/>
  <cols>
    <col min="1" max="1" width="12" customWidth="1"/>
    <col min="2" max="2" width="11" customWidth="1"/>
    <col min="3" max="3" width="40" customWidth="1"/>
    <col min="4" max="9" width="20" customWidth="1"/>
    <col min="10" max="10" width="10" customWidth="1"/>
    <col min="11" max="11" width="28" customWidth="1"/>
    <col min="12" max="12" width="14" customWidth="1"/>
    <col min="13" max="13" width="22" customWidth="1"/>
  </cols>
  <sheetData>
    <row r="1" spans="1:13" ht="26.1" customHeight="1">
      <c r="A1" s="30" t="s">
        <v>142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3" spans="1:13" ht="15">
      <c r="A3" s="13" t="s">
        <v>143</v>
      </c>
      <c r="B3" s="14" t="s">
        <v>144</v>
      </c>
      <c r="C3" s="14" t="s">
        <v>145</v>
      </c>
      <c r="D3" s="14" t="s">
        <v>146</v>
      </c>
      <c r="E3" s="14" t="s">
        <v>147</v>
      </c>
      <c r="F3" s="14" t="s">
        <v>148</v>
      </c>
      <c r="G3" s="14" t="s">
        <v>149</v>
      </c>
      <c r="H3" s="14" t="s">
        <v>150</v>
      </c>
      <c r="I3" s="14" t="s">
        <v>151</v>
      </c>
      <c r="J3" s="14" t="s">
        <v>152</v>
      </c>
      <c r="K3" s="14" t="s">
        <v>153</v>
      </c>
      <c r="L3" s="14" t="s">
        <v>49</v>
      </c>
      <c r="M3" s="15" t="s">
        <v>109</v>
      </c>
    </row>
    <row r="4" spans="1:13" ht="28.5">
      <c r="A4" s="19">
        <v>46132</v>
      </c>
      <c r="B4" s="10" t="s">
        <v>154</v>
      </c>
      <c r="C4" s="10" t="s">
        <v>155</v>
      </c>
      <c r="D4" s="10" t="s">
        <v>156</v>
      </c>
      <c r="E4" s="10" t="s">
        <v>5</v>
      </c>
      <c r="F4" s="10" t="s">
        <v>157</v>
      </c>
      <c r="G4" s="10" t="s">
        <v>25</v>
      </c>
      <c r="H4" s="10" t="s">
        <v>158</v>
      </c>
      <c r="I4" s="10" t="s">
        <v>159</v>
      </c>
      <c r="J4" s="10" t="s">
        <v>160</v>
      </c>
      <c r="K4" s="10" t="s">
        <v>161</v>
      </c>
      <c r="L4" s="10" t="s">
        <v>56</v>
      </c>
      <c r="M4" s="4"/>
    </row>
    <row r="5" spans="1:13" ht="54">
      <c r="A5" s="43">
        <v>46133</v>
      </c>
      <c r="B5" s="44" t="s">
        <v>162</v>
      </c>
      <c r="C5" s="44" t="s">
        <v>155</v>
      </c>
      <c r="D5" s="44" t="s">
        <v>156</v>
      </c>
      <c r="E5" s="44" t="s">
        <v>5</v>
      </c>
      <c r="F5" s="44" t="s">
        <v>163</v>
      </c>
      <c r="G5" s="44" t="s">
        <v>25</v>
      </c>
      <c r="H5" s="44" t="s">
        <v>164</v>
      </c>
      <c r="I5" s="44" t="s">
        <v>159</v>
      </c>
      <c r="J5" s="44" t="s">
        <v>160</v>
      </c>
      <c r="K5" s="44" t="s">
        <v>165</v>
      </c>
      <c r="L5" s="44" t="s">
        <v>56</v>
      </c>
      <c r="M5" s="6"/>
    </row>
    <row r="6" spans="1:13" ht="54">
      <c r="A6" s="43">
        <v>46134</v>
      </c>
      <c r="B6" s="44" t="s">
        <v>166</v>
      </c>
      <c r="C6" s="44" t="s">
        <v>155</v>
      </c>
      <c r="D6" s="44" t="s">
        <v>156</v>
      </c>
      <c r="E6" s="44" t="s">
        <v>5</v>
      </c>
      <c r="F6" s="44" t="s">
        <v>167</v>
      </c>
      <c r="G6" s="44" t="s">
        <v>25</v>
      </c>
      <c r="H6" s="44" t="s">
        <v>168</v>
      </c>
      <c r="I6" s="44" t="s">
        <v>159</v>
      </c>
      <c r="J6" s="44" t="s">
        <v>160</v>
      </c>
      <c r="K6" s="44" t="s">
        <v>169</v>
      </c>
      <c r="L6" s="44" t="s">
        <v>56</v>
      </c>
      <c r="M6" s="6"/>
    </row>
    <row r="7" spans="1:13" ht="72">
      <c r="A7" s="43">
        <v>46135</v>
      </c>
      <c r="B7" s="44" t="s">
        <v>170</v>
      </c>
      <c r="C7" s="44" t="s">
        <v>155</v>
      </c>
      <c r="D7" s="44" t="s">
        <v>156</v>
      </c>
      <c r="E7" s="44" t="s">
        <v>5</v>
      </c>
      <c r="F7" s="44" t="s">
        <v>171</v>
      </c>
      <c r="G7" s="44" t="s">
        <v>25</v>
      </c>
      <c r="H7" s="44" t="s">
        <v>172</v>
      </c>
      <c r="I7" s="44" t="s">
        <v>159</v>
      </c>
      <c r="J7" s="44" t="s">
        <v>160</v>
      </c>
      <c r="K7" s="44" t="s">
        <v>173</v>
      </c>
      <c r="L7" s="44" t="s">
        <v>56</v>
      </c>
      <c r="M7" s="6"/>
    </row>
    <row r="8" spans="1:13" ht="54">
      <c r="A8" s="43">
        <v>46136</v>
      </c>
      <c r="B8" s="44" t="s">
        <v>174</v>
      </c>
      <c r="C8" s="44" t="s">
        <v>155</v>
      </c>
      <c r="D8" s="44" t="s">
        <v>156</v>
      </c>
      <c r="E8" s="44" t="s">
        <v>5</v>
      </c>
      <c r="F8" s="44" t="s">
        <v>175</v>
      </c>
      <c r="G8" s="44" t="s">
        <v>25</v>
      </c>
      <c r="H8" s="44" t="s">
        <v>176</v>
      </c>
      <c r="I8" s="44" t="s">
        <v>177</v>
      </c>
      <c r="J8" s="44" t="s">
        <v>160</v>
      </c>
      <c r="K8" s="44" t="s">
        <v>178</v>
      </c>
      <c r="L8" s="44" t="s">
        <v>56</v>
      </c>
      <c r="M8" s="6"/>
    </row>
    <row r="9" spans="1:13" ht="28.5">
      <c r="A9" s="20">
        <v>46139</v>
      </c>
      <c r="B9" s="11" t="s">
        <v>154</v>
      </c>
      <c r="C9" s="11" t="s">
        <v>179</v>
      </c>
      <c r="D9" s="11" t="s">
        <v>156</v>
      </c>
      <c r="E9" s="11" t="s">
        <v>5</v>
      </c>
      <c r="F9" s="11" t="s">
        <v>157</v>
      </c>
      <c r="G9" s="11" t="s">
        <v>25</v>
      </c>
      <c r="H9" s="11" t="s">
        <v>158</v>
      </c>
      <c r="I9" s="11" t="s">
        <v>159</v>
      </c>
      <c r="J9" s="11" t="s">
        <v>160</v>
      </c>
      <c r="K9" s="11" t="s">
        <v>161</v>
      </c>
      <c r="L9" s="11" t="s">
        <v>56</v>
      </c>
      <c r="M9" s="6"/>
    </row>
    <row r="10" spans="1:13" ht="28.5">
      <c r="A10" s="20">
        <v>46140</v>
      </c>
      <c r="B10" s="11" t="s">
        <v>162</v>
      </c>
      <c r="C10" s="11" t="s">
        <v>179</v>
      </c>
      <c r="D10" s="11" t="s">
        <v>156</v>
      </c>
      <c r="E10" s="11" t="s">
        <v>5</v>
      </c>
      <c r="F10" s="11" t="s">
        <v>163</v>
      </c>
      <c r="G10" s="11" t="s">
        <v>25</v>
      </c>
      <c r="H10" s="11" t="s">
        <v>164</v>
      </c>
      <c r="I10" s="11" t="s">
        <v>159</v>
      </c>
      <c r="J10" s="11" t="s">
        <v>160</v>
      </c>
      <c r="K10" s="11" t="s">
        <v>165</v>
      </c>
      <c r="L10" s="11" t="s">
        <v>56</v>
      </c>
      <c r="M10" s="6"/>
    </row>
    <row r="11" spans="1:13" ht="28.5">
      <c r="A11" s="20">
        <v>46141</v>
      </c>
      <c r="B11" s="11" t="s">
        <v>166</v>
      </c>
      <c r="C11" s="11" t="s">
        <v>179</v>
      </c>
      <c r="D11" s="11" t="s">
        <v>156</v>
      </c>
      <c r="E11" s="11" t="s">
        <v>5</v>
      </c>
      <c r="F11" s="11" t="s">
        <v>167</v>
      </c>
      <c r="G11" s="11" t="s">
        <v>25</v>
      </c>
      <c r="H11" s="11" t="s">
        <v>168</v>
      </c>
      <c r="I11" s="11" t="s">
        <v>159</v>
      </c>
      <c r="J11" s="11" t="s">
        <v>160</v>
      </c>
      <c r="K11" s="11" t="s">
        <v>169</v>
      </c>
      <c r="L11" s="11" t="s">
        <v>56</v>
      </c>
      <c r="M11" s="6"/>
    </row>
    <row r="12" spans="1:13" ht="42.75">
      <c r="A12" s="20">
        <v>46142</v>
      </c>
      <c r="B12" s="11" t="s">
        <v>170</v>
      </c>
      <c r="C12" s="11" t="s">
        <v>179</v>
      </c>
      <c r="D12" s="11" t="s">
        <v>156</v>
      </c>
      <c r="E12" s="11" t="s">
        <v>5</v>
      </c>
      <c r="F12" s="11" t="s">
        <v>171</v>
      </c>
      <c r="G12" s="11" t="s">
        <v>25</v>
      </c>
      <c r="H12" s="11" t="s">
        <v>172</v>
      </c>
      <c r="I12" s="11" t="s">
        <v>159</v>
      </c>
      <c r="J12" s="11" t="s">
        <v>160</v>
      </c>
      <c r="K12" s="11" t="s">
        <v>173</v>
      </c>
      <c r="L12" s="11" t="s">
        <v>56</v>
      </c>
      <c r="M12" s="6"/>
    </row>
    <row r="13" spans="1:13" ht="28.5">
      <c r="A13" s="20">
        <v>46143</v>
      </c>
      <c r="B13" s="11" t="s">
        <v>174</v>
      </c>
      <c r="C13" s="11" t="s">
        <v>179</v>
      </c>
      <c r="D13" s="11" t="s">
        <v>156</v>
      </c>
      <c r="E13" s="11" t="s">
        <v>5</v>
      </c>
      <c r="F13" s="11" t="s">
        <v>175</v>
      </c>
      <c r="G13" s="11" t="s">
        <v>25</v>
      </c>
      <c r="H13" s="11" t="s">
        <v>176</v>
      </c>
      <c r="I13" s="11" t="s">
        <v>177</v>
      </c>
      <c r="J13" s="11" t="s">
        <v>160</v>
      </c>
      <c r="K13" s="11" t="s">
        <v>178</v>
      </c>
      <c r="L13" s="11" t="s">
        <v>56</v>
      </c>
      <c r="M13" s="6"/>
    </row>
    <row r="14" spans="1:13" ht="28.5">
      <c r="A14" s="20">
        <v>46146</v>
      </c>
      <c r="B14" s="11" t="s">
        <v>154</v>
      </c>
      <c r="C14" s="11" t="s">
        <v>180</v>
      </c>
      <c r="D14" s="11" t="s">
        <v>156</v>
      </c>
      <c r="E14" s="11" t="s">
        <v>5</v>
      </c>
      <c r="F14" s="11" t="s">
        <v>157</v>
      </c>
      <c r="G14" s="11" t="s">
        <v>25</v>
      </c>
      <c r="H14" s="11" t="s">
        <v>158</v>
      </c>
      <c r="I14" s="11" t="s">
        <v>159</v>
      </c>
      <c r="J14" s="11" t="s">
        <v>160</v>
      </c>
      <c r="K14" s="11" t="s">
        <v>161</v>
      </c>
      <c r="L14" s="11" t="s">
        <v>56</v>
      </c>
      <c r="M14" s="6"/>
    </row>
    <row r="15" spans="1:13" ht="28.5">
      <c r="A15" s="20">
        <v>46147</v>
      </c>
      <c r="B15" s="11" t="s">
        <v>162</v>
      </c>
      <c r="C15" s="11" t="s">
        <v>180</v>
      </c>
      <c r="D15" s="11" t="s">
        <v>156</v>
      </c>
      <c r="E15" s="11" t="s">
        <v>5</v>
      </c>
      <c r="F15" s="11" t="s">
        <v>163</v>
      </c>
      <c r="G15" s="11" t="s">
        <v>25</v>
      </c>
      <c r="H15" s="11" t="s">
        <v>164</v>
      </c>
      <c r="I15" s="11" t="s">
        <v>159</v>
      </c>
      <c r="J15" s="11" t="s">
        <v>160</v>
      </c>
      <c r="K15" s="11" t="s">
        <v>165</v>
      </c>
      <c r="L15" s="11" t="s">
        <v>56</v>
      </c>
      <c r="M15" s="6"/>
    </row>
    <row r="16" spans="1:13" ht="28.5">
      <c r="A16" s="20">
        <v>46148</v>
      </c>
      <c r="B16" s="11" t="s">
        <v>166</v>
      </c>
      <c r="C16" s="11" t="s">
        <v>180</v>
      </c>
      <c r="D16" s="11" t="s">
        <v>156</v>
      </c>
      <c r="E16" s="11" t="s">
        <v>5</v>
      </c>
      <c r="F16" s="11" t="s">
        <v>167</v>
      </c>
      <c r="G16" s="11" t="s">
        <v>25</v>
      </c>
      <c r="H16" s="11" t="s">
        <v>168</v>
      </c>
      <c r="I16" s="11" t="s">
        <v>159</v>
      </c>
      <c r="J16" s="11" t="s">
        <v>160</v>
      </c>
      <c r="K16" s="11" t="s">
        <v>169</v>
      </c>
      <c r="L16" s="11" t="s">
        <v>56</v>
      </c>
      <c r="M16" s="6"/>
    </row>
    <row r="17" spans="1:13" ht="42.75">
      <c r="A17" s="20">
        <v>46149</v>
      </c>
      <c r="B17" s="11" t="s">
        <v>170</v>
      </c>
      <c r="C17" s="11" t="s">
        <v>180</v>
      </c>
      <c r="D17" s="11" t="s">
        <v>156</v>
      </c>
      <c r="E17" s="11" t="s">
        <v>5</v>
      </c>
      <c r="F17" s="11" t="s">
        <v>171</v>
      </c>
      <c r="G17" s="11" t="s">
        <v>25</v>
      </c>
      <c r="H17" s="11" t="s">
        <v>172</v>
      </c>
      <c r="I17" s="11" t="s">
        <v>159</v>
      </c>
      <c r="J17" s="11" t="s">
        <v>160</v>
      </c>
      <c r="K17" s="11" t="s">
        <v>173</v>
      </c>
      <c r="L17" s="11" t="s">
        <v>56</v>
      </c>
      <c r="M17" s="6"/>
    </row>
    <row r="18" spans="1:13" ht="28.5">
      <c r="A18" s="20">
        <v>46150</v>
      </c>
      <c r="B18" s="11" t="s">
        <v>174</v>
      </c>
      <c r="C18" s="11" t="s">
        <v>180</v>
      </c>
      <c r="D18" s="11" t="s">
        <v>156</v>
      </c>
      <c r="E18" s="11" t="s">
        <v>5</v>
      </c>
      <c r="F18" s="11" t="s">
        <v>175</v>
      </c>
      <c r="G18" s="11" t="s">
        <v>25</v>
      </c>
      <c r="H18" s="11" t="s">
        <v>176</v>
      </c>
      <c r="I18" s="11" t="s">
        <v>177</v>
      </c>
      <c r="J18" s="11" t="s">
        <v>160</v>
      </c>
      <c r="K18" s="11" t="s">
        <v>178</v>
      </c>
      <c r="L18" s="11" t="s">
        <v>56</v>
      </c>
      <c r="M18" s="6"/>
    </row>
    <row r="19" spans="1:13" ht="28.5">
      <c r="A19" s="20">
        <v>46153</v>
      </c>
      <c r="B19" s="11" t="s">
        <v>154</v>
      </c>
      <c r="C19" s="11" t="s">
        <v>181</v>
      </c>
      <c r="D19" s="11" t="s">
        <v>156</v>
      </c>
      <c r="E19" s="11" t="s">
        <v>5</v>
      </c>
      <c r="F19" s="11" t="s">
        <v>157</v>
      </c>
      <c r="G19" s="11" t="s">
        <v>25</v>
      </c>
      <c r="H19" s="11" t="s">
        <v>158</v>
      </c>
      <c r="I19" s="11" t="s">
        <v>159</v>
      </c>
      <c r="J19" s="11" t="s">
        <v>160</v>
      </c>
      <c r="K19" s="11" t="s">
        <v>161</v>
      </c>
      <c r="L19" s="11" t="s">
        <v>56</v>
      </c>
      <c r="M19" s="6"/>
    </row>
    <row r="20" spans="1:13" ht="28.5">
      <c r="A20" s="20">
        <v>46154</v>
      </c>
      <c r="B20" s="11" t="s">
        <v>162</v>
      </c>
      <c r="C20" s="11" t="s">
        <v>181</v>
      </c>
      <c r="D20" s="11" t="s">
        <v>156</v>
      </c>
      <c r="E20" s="11" t="s">
        <v>5</v>
      </c>
      <c r="F20" s="11" t="s">
        <v>163</v>
      </c>
      <c r="G20" s="11" t="s">
        <v>25</v>
      </c>
      <c r="H20" s="11" t="s">
        <v>164</v>
      </c>
      <c r="I20" s="11" t="s">
        <v>159</v>
      </c>
      <c r="J20" s="11" t="s">
        <v>160</v>
      </c>
      <c r="K20" s="11" t="s">
        <v>165</v>
      </c>
      <c r="L20" s="11" t="s">
        <v>56</v>
      </c>
      <c r="M20" s="6"/>
    </row>
    <row r="21" spans="1:13" ht="28.5">
      <c r="A21" s="20">
        <v>46155</v>
      </c>
      <c r="B21" s="11" t="s">
        <v>166</v>
      </c>
      <c r="C21" s="11" t="s">
        <v>181</v>
      </c>
      <c r="D21" s="11" t="s">
        <v>156</v>
      </c>
      <c r="E21" s="11" t="s">
        <v>5</v>
      </c>
      <c r="F21" s="11" t="s">
        <v>167</v>
      </c>
      <c r="G21" s="11" t="s">
        <v>25</v>
      </c>
      <c r="H21" s="11" t="s">
        <v>168</v>
      </c>
      <c r="I21" s="11" t="s">
        <v>159</v>
      </c>
      <c r="J21" s="11" t="s">
        <v>160</v>
      </c>
      <c r="K21" s="11" t="s">
        <v>169</v>
      </c>
      <c r="L21" s="11" t="s">
        <v>56</v>
      </c>
      <c r="M21" s="6"/>
    </row>
    <row r="22" spans="1:13" ht="42.75">
      <c r="A22" s="20">
        <v>46156</v>
      </c>
      <c r="B22" s="11" t="s">
        <v>170</v>
      </c>
      <c r="C22" s="11" t="s">
        <v>181</v>
      </c>
      <c r="D22" s="11" t="s">
        <v>156</v>
      </c>
      <c r="E22" s="11" t="s">
        <v>5</v>
      </c>
      <c r="F22" s="11" t="s">
        <v>171</v>
      </c>
      <c r="G22" s="11" t="s">
        <v>25</v>
      </c>
      <c r="H22" s="11" t="s">
        <v>172</v>
      </c>
      <c r="I22" s="11" t="s">
        <v>159</v>
      </c>
      <c r="J22" s="11" t="s">
        <v>160</v>
      </c>
      <c r="K22" s="11" t="s">
        <v>173</v>
      </c>
      <c r="L22" s="11" t="s">
        <v>56</v>
      </c>
      <c r="M22" s="6"/>
    </row>
    <row r="23" spans="1:13" ht="28.5">
      <c r="A23" s="20">
        <v>46157</v>
      </c>
      <c r="B23" s="11" t="s">
        <v>174</v>
      </c>
      <c r="C23" s="11" t="s">
        <v>181</v>
      </c>
      <c r="D23" s="11" t="s">
        <v>156</v>
      </c>
      <c r="E23" s="11" t="s">
        <v>5</v>
      </c>
      <c r="F23" s="11" t="s">
        <v>175</v>
      </c>
      <c r="G23" s="11" t="s">
        <v>25</v>
      </c>
      <c r="H23" s="11" t="s">
        <v>176</v>
      </c>
      <c r="I23" s="11" t="s">
        <v>177</v>
      </c>
      <c r="J23" s="11" t="s">
        <v>160</v>
      </c>
      <c r="K23" s="11" t="s">
        <v>178</v>
      </c>
      <c r="L23" s="11" t="s">
        <v>56</v>
      </c>
      <c r="M23" s="6"/>
    </row>
    <row r="24" spans="1:13" ht="28.5">
      <c r="A24" s="20">
        <v>46160</v>
      </c>
      <c r="B24" s="11" t="s">
        <v>154</v>
      </c>
      <c r="C24" s="11" t="s">
        <v>182</v>
      </c>
      <c r="D24" s="11" t="s">
        <v>156</v>
      </c>
      <c r="E24" s="11" t="s">
        <v>5</v>
      </c>
      <c r="F24" s="11" t="s">
        <v>157</v>
      </c>
      <c r="G24" s="11" t="s">
        <v>25</v>
      </c>
      <c r="H24" s="11" t="s">
        <v>158</v>
      </c>
      <c r="I24" s="11" t="s">
        <v>159</v>
      </c>
      <c r="J24" s="11" t="s">
        <v>160</v>
      </c>
      <c r="K24" s="11" t="s">
        <v>161</v>
      </c>
      <c r="L24" s="11" t="s">
        <v>56</v>
      </c>
      <c r="M24" s="6"/>
    </row>
    <row r="25" spans="1:13" ht="28.5">
      <c r="A25" s="20">
        <v>46161</v>
      </c>
      <c r="B25" s="11" t="s">
        <v>162</v>
      </c>
      <c r="C25" s="11" t="s">
        <v>182</v>
      </c>
      <c r="D25" s="11" t="s">
        <v>156</v>
      </c>
      <c r="E25" s="11" t="s">
        <v>5</v>
      </c>
      <c r="F25" s="11" t="s">
        <v>163</v>
      </c>
      <c r="G25" s="11" t="s">
        <v>25</v>
      </c>
      <c r="H25" s="11" t="s">
        <v>164</v>
      </c>
      <c r="I25" s="11" t="s">
        <v>159</v>
      </c>
      <c r="J25" s="11" t="s">
        <v>160</v>
      </c>
      <c r="K25" s="11" t="s">
        <v>165</v>
      </c>
      <c r="L25" s="11" t="s">
        <v>56</v>
      </c>
      <c r="M25" s="6"/>
    </row>
    <row r="26" spans="1:13" ht="28.5">
      <c r="A26" s="20">
        <v>46162</v>
      </c>
      <c r="B26" s="11" t="s">
        <v>166</v>
      </c>
      <c r="C26" s="11" t="s">
        <v>182</v>
      </c>
      <c r="D26" s="11" t="s">
        <v>156</v>
      </c>
      <c r="E26" s="11" t="s">
        <v>5</v>
      </c>
      <c r="F26" s="11" t="s">
        <v>167</v>
      </c>
      <c r="G26" s="11" t="s">
        <v>25</v>
      </c>
      <c r="H26" s="11" t="s">
        <v>168</v>
      </c>
      <c r="I26" s="11" t="s">
        <v>159</v>
      </c>
      <c r="J26" s="11" t="s">
        <v>160</v>
      </c>
      <c r="K26" s="11" t="s">
        <v>169</v>
      </c>
      <c r="L26" s="11" t="s">
        <v>56</v>
      </c>
      <c r="M26" s="6"/>
    </row>
    <row r="27" spans="1:13" ht="42.75">
      <c r="A27" s="20">
        <v>46163</v>
      </c>
      <c r="B27" s="11" t="s">
        <v>170</v>
      </c>
      <c r="C27" s="11" t="s">
        <v>182</v>
      </c>
      <c r="D27" s="11" t="s">
        <v>156</v>
      </c>
      <c r="E27" s="11" t="s">
        <v>5</v>
      </c>
      <c r="F27" s="11" t="s">
        <v>171</v>
      </c>
      <c r="G27" s="11" t="s">
        <v>25</v>
      </c>
      <c r="H27" s="11" t="s">
        <v>172</v>
      </c>
      <c r="I27" s="11" t="s">
        <v>159</v>
      </c>
      <c r="J27" s="11" t="s">
        <v>160</v>
      </c>
      <c r="K27" s="11" t="s">
        <v>173</v>
      </c>
      <c r="L27" s="11" t="s">
        <v>56</v>
      </c>
      <c r="M27" s="6"/>
    </row>
    <row r="28" spans="1:13" ht="28.5">
      <c r="A28" s="20">
        <v>46164</v>
      </c>
      <c r="B28" s="11" t="s">
        <v>174</v>
      </c>
      <c r="C28" s="11" t="s">
        <v>182</v>
      </c>
      <c r="D28" s="11" t="s">
        <v>156</v>
      </c>
      <c r="E28" s="11" t="s">
        <v>5</v>
      </c>
      <c r="F28" s="11" t="s">
        <v>175</v>
      </c>
      <c r="G28" s="11" t="s">
        <v>25</v>
      </c>
      <c r="H28" s="11" t="s">
        <v>176</v>
      </c>
      <c r="I28" s="11" t="s">
        <v>177</v>
      </c>
      <c r="J28" s="11" t="s">
        <v>160</v>
      </c>
      <c r="K28" s="11" t="s">
        <v>178</v>
      </c>
      <c r="L28" s="11" t="s">
        <v>56</v>
      </c>
      <c r="M28" s="6"/>
    </row>
    <row r="29" spans="1:13" ht="28.5">
      <c r="A29" s="20">
        <v>46167</v>
      </c>
      <c r="B29" s="11" t="s">
        <v>154</v>
      </c>
      <c r="C29" s="11" t="s">
        <v>183</v>
      </c>
      <c r="D29" s="11" t="s">
        <v>156</v>
      </c>
      <c r="E29" s="11" t="s">
        <v>5</v>
      </c>
      <c r="F29" s="11" t="s">
        <v>157</v>
      </c>
      <c r="G29" s="11" t="s">
        <v>25</v>
      </c>
      <c r="H29" s="11" t="s">
        <v>158</v>
      </c>
      <c r="I29" s="11" t="s">
        <v>159</v>
      </c>
      <c r="J29" s="11" t="s">
        <v>160</v>
      </c>
      <c r="K29" s="11" t="s">
        <v>161</v>
      </c>
      <c r="L29" s="11" t="s">
        <v>56</v>
      </c>
      <c r="M29" s="6"/>
    </row>
    <row r="30" spans="1:13" ht="28.5">
      <c r="A30" s="20">
        <v>46168</v>
      </c>
      <c r="B30" s="11" t="s">
        <v>162</v>
      </c>
      <c r="C30" s="11" t="s">
        <v>183</v>
      </c>
      <c r="D30" s="11" t="s">
        <v>156</v>
      </c>
      <c r="E30" s="11" t="s">
        <v>5</v>
      </c>
      <c r="F30" s="11" t="s">
        <v>163</v>
      </c>
      <c r="G30" s="11" t="s">
        <v>25</v>
      </c>
      <c r="H30" s="11" t="s">
        <v>164</v>
      </c>
      <c r="I30" s="11" t="s">
        <v>159</v>
      </c>
      <c r="J30" s="11" t="s">
        <v>160</v>
      </c>
      <c r="K30" s="11" t="s">
        <v>165</v>
      </c>
      <c r="L30" s="11" t="s">
        <v>56</v>
      </c>
      <c r="M30" s="6"/>
    </row>
    <row r="31" spans="1:13" ht="28.5">
      <c r="A31" s="20">
        <v>46169</v>
      </c>
      <c r="B31" s="11" t="s">
        <v>166</v>
      </c>
      <c r="C31" s="11" t="s">
        <v>183</v>
      </c>
      <c r="D31" s="11" t="s">
        <v>156</v>
      </c>
      <c r="E31" s="11" t="s">
        <v>5</v>
      </c>
      <c r="F31" s="11" t="s">
        <v>167</v>
      </c>
      <c r="G31" s="11" t="s">
        <v>25</v>
      </c>
      <c r="H31" s="11" t="s">
        <v>168</v>
      </c>
      <c r="I31" s="11" t="s">
        <v>159</v>
      </c>
      <c r="J31" s="11" t="s">
        <v>160</v>
      </c>
      <c r="K31" s="11" t="s">
        <v>169</v>
      </c>
      <c r="L31" s="11" t="s">
        <v>56</v>
      </c>
      <c r="M31" s="6"/>
    </row>
    <row r="32" spans="1:13" ht="42.75">
      <c r="A32" s="20">
        <v>46170</v>
      </c>
      <c r="B32" s="11" t="s">
        <v>170</v>
      </c>
      <c r="C32" s="11" t="s">
        <v>183</v>
      </c>
      <c r="D32" s="11" t="s">
        <v>156</v>
      </c>
      <c r="E32" s="11" t="s">
        <v>5</v>
      </c>
      <c r="F32" s="11" t="s">
        <v>171</v>
      </c>
      <c r="G32" s="11" t="s">
        <v>25</v>
      </c>
      <c r="H32" s="11" t="s">
        <v>172</v>
      </c>
      <c r="I32" s="11" t="s">
        <v>159</v>
      </c>
      <c r="J32" s="11" t="s">
        <v>160</v>
      </c>
      <c r="K32" s="11" t="s">
        <v>173</v>
      </c>
      <c r="L32" s="11" t="s">
        <v>56</v>
      </c>
      <c r="M32" s="6"/>
    </row>
    <row r="33" spans="1:13" ht="28.5">
      <c r="A33" s="20">
        <v>46171</v>
      </c>
      <c r="B33" s="11" t="s">
        <v>174</v>
      </c>
      <c r="C33" s="11" t="s">
        <v>183</v>
      </c>
      <c r="D33" s="11" t="s">
        <v>156</v>
      </c>
      <c r="E33" s="11" t="s">
        <v>5</v>
      </c>
      <c r="F33" s="11" t="s">
        <v>175</v>
      </c>
      <c r="G33" s="11" t="s">
        <v>25</v>
      </c>
      <c r="H33" s="11" t="s">
        <v>176</v>
      </c>
      <c r="I33" s="11" t="s">
        <v>177</v>
      </c>
      <c r="J33" s="11" t="s">
        <v>160</v>
      </c>
      <c r="K33" s="11" t="s">
        <v>178</v>
      </c>
      <c r="L33" s="11" t="s">
        <v>56</v>
      </c>
      <c r="M33" s="6"/>
    </row>
    <row r="34" spans="1:13" ht="28.5">
      <c r="A34" s="20">
        <v>46174</v>
      </c>
      <c r="B34" s="11" t="s">
        <v>154</v>
      </c>
      <c r="C34" s="11" t="s">
        <v>184</v>
      </c>
      <c r="D34" s="11" t="s">
        <v>156</v>
      </c>
      <c r="E34" s="11" t="s">
        <v>5</v>
      </c>
      <c r="F34" s="11" t="s">
        <v>157</v>
      </c>
      <c r="G34" s="11" t="s">
        <v>25</v>
      </c>
      <c r="H34" s="11" t="s">
        <v>158</v>
      </c>
      <c r="I34" s="11" t="s">
        <v>159</v>
      </c>
      <c r="J34" s="11" t="s">
        <v>160</v>
      </c>
      <c r="K34" s="11" t="s">
        <v>161</v>
      </c>
      <c r="L34" s="11" t="s">
        <v>56</v>
      </c>
      <c r="M34" s="6"/>
    </row>
    <row r="35" spans="1:13" ht="28.5">
      <c r="A35" s="20">
        <v>46175</v>
      </c>
      <c r="B35" s="11" t="s">
        <v>162</v>
      </c>
      <c r="C35" s="11" t="s">
        <v>184</v>
      </c>
      <c r="D35" s="11" t="s">
        <v>156</v>
      </c>
      <c r="E35" s="11" t="s">
        <v>5</v>
      </c>
      <c r="F35" s="11" t="s">
        <v>163</v>
      </c>
      <c r="G35" s="11" t="s">
        <v>25</v>
      </c>
      <c r="H35" s="11" t="s">
        <v>164</v>
      </c>
      <c r="I35" s="11" t="s">
        <v>159</v>
      </c>
      <c r="J35" s="11" t="s">
        <v>160</v>
      </c>
      <c r="K35" s="11" t="s">
        <v>165</v>
      </c>
      <c r="L35" s="11" t="s">
        <v>56</v>
      </c>
      <c r="M35" s="6"/>
    </row>
    <row r="36" spans="1:13" ht="28.5">
      <c r="A36" s="20">
        <v>46176</v>
      </c>
      <c r="B36" s="11" t="s">
        <v>166</v>
      </c>
      <c r="C36" s="11" t="s">
        <v>184</v>
      </c>
      <c r="D36" s="11" t="s">
        <v>156</v>
      </c>
      <c r="E36" s="11" t="s">
        <v>5</v>
      </c>
      <c r="F36" s="11" t="s">
        <v>167</v>
      </c>
      <c r="G36" s="11" t="s">
        <v>25</v>
      </c>
      <c r="H36" s="11" t="s">
        <v>168</v>
      </c>
      <c r="I36" s="11" t="s">
        <v>159</v>
      </c>
      <c r="J36" s="11" t="s">
        <v>160</v>
      </c>
      <c r="K36" s="11" t="s">
        <v>169</v>
      </c>
      <c r="L36" s="11" t="s">
        <v>56</v>
      </c>
      <c r="M36" s="6"/>
    </row>
    <row r="37" spans="1:13" ht="42.75">
      <c r="A37" s="20">
        <v>46177</v>
      </c>
      <c r="B37" s="11" t="s">
        <v>170</v>
      </c>
      <c r="C37" s="11" t="s">
        <v>184</v>
      </c>
      <c r="D37" s="11" t="s">
        <v>156</v>
      </c>
      <c r="E37" s="11" t="s">
        <v>5</v>
      </c>
      <c r="F37" s="11" t="s">
        <v>171</v>
      </c>
      <c r="G37" s="11" t="s">
        <v>25</v>
      </c>
      <c r="H37" s="11" t="s">
        <v>172</v>
      </c>
      <c r="I37" s="11" t="s">
        <v>159</v>
      </c>
      <c r="J37" s="11" t="s">
        <v>160</v>
      </c>
      <c r="K37" s="11" t="s">
        <v>173</v>
      </c>
      <c r="L37" s="11" t="s">
        <v>56</v>
      </c>
      <c r="M37" s="6"/>
    </row>
    <row r="38" spans="1:13" ht="28.5">
      <c r="A38" s="20">
        <v>46178</v>
      </c>
      <c r="B38" s="11" t="s">
        <v>174</v>
      </c>
      <c r="C38" s="11" t="s">
        <v>184</v>
      </c>
      <c r="D38" s="11" t="s">
        <v>156</v>
      </c>
      <c r="E38" s="11" t="s">
        <v>5</v>
      </c>
      <c r="F38" s="11" t="s">
        <v>175</v>
      </c>
      <c r="G38" s="11" t="s">
        <v>25</v>
      </c>
      <c r="H38" s="11" t="s">
        <v>176</v>
      </c>
      <c r="I38" s="11" t="s">
        <v>177</v>
      </c>
      <c r="J38" s="11" t="s">
        <v>160</v>
      </c>
      <c r="K38" s="11" t="s">
        <v>178</v>
      </c>
      <c r="L38" s="11" t="s">
        <v>56</v>
      </c>
      <c r="M38" s="6"/>
    </row>
    <row r="39" spans="1:13" ht="28.5">
      <c r="A39" s="20">
        <v>46181</v>
      </c>
      <c r="B39" s="11" t="s">
        <v>154</v>
      </c>
      <c r="C39" s="11" t="s">
        <v>185</v>
      </c>
      <c r="D39" s="11" t="s">
        <v>156</v>
      </c>
      <c r="E39" s="11" t="s">
        <v>5</v>
      </c>
      <c r="F39" s="11" t="s">
        <v>157</v>
      </c>
      <c r="G39" s="11" t="s">
        <v>25</v>
      </c>
      <c r="H39" s="11" t="s">
        <v>158</v>
      </c>
      <c r="I39" s="11" t="s">
        <v>159</v>
      </c>
      <c r="J39" s="11" t="s">
        <v>160</v>
      </c>
      <c r="K39" s="11" t="s">
        <v>161</v>
      </c>
      <c r="L39" s="11" t="s">
        <v>56</v>
      </c>
      <c r="M39" s="6"/>
    </row>
    <row r="40" spans="1:13" ht="28.5">
      <c r="A40" s="20">
        <v>46182</v>
      </c>
      <c r="B40" s="11" t="s">
        <v>162</v>
      </c>
      <c r="C40" s="11" t="s">
        <v>185</v>
      </c>
      <c r="D40" s="11" t="s">
        <v>156</v>
      </c>
      <c r="E40" s="11" t="s">
        <v>5</v>
      </c>
      <c r="F40" s="11" t="s">
        <v>163</v>
      </c>
      <c r="G40" s="11" t="s">
        <v>25</v>
      </c>
      <c r="H40" s="11" t="s">
        <v>164</v>
      </c>
      <c r="I40" s="11" t="s">
        <v>159</v>
      </c>
      <c r="J40" s="11" t="s">
        <v>160</v>
      </c>
      <c r="K40" s="11" t="s">
        <v>165</v>
      </c>
      <c r="L40" s="11" t="s">
        <v>56</v>
      </c>
      <c r="M40" s="6"/>
    </row>
    <row r="41" spans="1:13" ht="28.5">
      <c r="A41" s="20">
        <v>46183</v>
      </c>
      <c r="B41" s="11" t="s">
        <v>166</v>
      </c>
      <c r="C41" s="11" t="s">
        <v>185</v>
      </c>
      <c r="D41" s="11" t="s">
        <v>156</v>
      </c>
      <c r="E41" s="11" t="s">
        <v>5</v>
      </c>
      <c r="F41" s="11" t="s">
        <v>167</v>
      </c>
      <c r="G41" s="11" t="s">
        <v>25</v>
      </c>
      <c r="H41" s="11" t="s">
        <v>168</v>
      </c>
      <c r="I41" s="11" t="s">
        <v>159</v>
      </c>
      <c r="J41" s="11" t="s">
        <v>160</v>
      </c>
      <c r="K41" s="11" t="s">
        <v>169</v>
      </c>
      <c r="L41" s="11" t="s">
        <v>56</v>
      </c>
      <c r="M41" s="6"/>
    </row>
    <row r="42" spans="1:13" ht="42.75">
      <c r="A42" s="20">
        <v>46184</v>
      </c>
      <c r="B42" s="11" t="s">
        <v>170</v>
      </c>
      <c r="C42" s="11" t="s">
        <v>185</v>
      </c>
      <c r="D42" s="11" t="s">
        <v>156</v>
      </c>
      <c r="E42" s="11" t="s">
        <v>5</v>
      </c>
      <c r="F42" s="11" t="s">
        <v>171</v>
      </c>
      <c r="G42" s="11" t="s">
        <v>25</v>
      </c>
      <c r="H42" s="11" t="s">
        <v>172</v>
      </c>
      <c r="I42" s="11" t="s">
        <v>159</v>
      </c>
      <c r="J42" s="11" t="s">
        <v>160</v>
      </c>
      <c r="K42" s="11" t="s">
        <v>173</v>
      </c>
      <c r="L42" s="11" t="s">
        <v>56</v>
      </c>
      <c r="M42" s="6"/>
    </row>
    <row r="43" spans="1:13" ht="28.5">
      <c r="A43" s="20">
        <v>46185</v>
      </c>
      <c r="B43" s="11" t="s">
        <v>174</v>
      </c>
      <c r="C43" s="11" t="s">
        <v>185</v>
      </c>
      <c r="D43" s="11" t="s">
        <v>156</v>
      </c>
      <c r="E43" s="11" t="s">
        <v>5</v>
      </c>
      <c r="F43" s="11" t="s">
        <v>175</v>
      </c>
      <c r="G43" s="11" t="s">
        <v>25</v>
      </c>
      <c r="H43" s="11" t="s">
        <v>176</v>
      </c>
      <c r="I43" s="11" t="s">
        <v>177</v>
      </c>
      <c r="J43" s="11" t="s">
        <v>160</v>
      </c>
      <c r="K43" s="11" t="s">
        <v>178</v>
      </c>
      <c r="L43" s="11" t="s">
        <v>56</v>
      </c>
      <c r="M43" s="6"/>
    </row>
    <row r="44" spans="1:13" ht="28.5">
      <c r="A44" s="20">
        <v>46188</v>
      </c>
      <c r="B44" s="11" t="s">
        <v>154</v>
      </c>
      <c r="C44" s="11" t="s">
        <v>186</v>
      </c>
      <c r="D44" s="11" t="s">
        <v>156</v>
      </c>
      <c r="E44" s="11" t="s">
        <v>5</v>
      </c>
      <c r="F44" s="11" t="s">
        <v>157</v>
      </c>
      <c r="G44" s="11" t="s">
        <v>25</v>
      </c>
      <c r="H44" s="11" t="s">
        <v>158</v>
      </c>
      <c r="I44" s="11" t="s">
        <v>159</v>
      </c>
      <c r="J44" s="11" t="s">
        <v>160</v>
      </c>
      <c r="K44" s="11" t="s">
        <v>161</v>
      </c>
      <c r="L44" s="11" t="s">
        <v>56</v>
      </c>
      <c r="M44" s="6"/>
    </row>
    <row r="45" spans="1:13" ht="28.5">
      <c r="A45" s="20">
        <v>46189</v>
      </c>
      <c r="B45" s="11" t="s">
        <v>162</v>
      </c>
      <c r="C45" s="11" t="s">
        <v>186</v>
      </c>
      <c r="D45" s="11" t="s">
        <v>156</v>
      </c>
      <c r="E45" s="11" t="s">
        <v>5</v>
      </c>
      <c r="F45" s="11" t="s">
        <v>163</v>
      </c>
      <c r="G45" s="11" t="s">
        <v>25</v>
      </c>
      <c r="H45" s="11" t="s">
        <v>164</v>
      </c>
      <c r="I45" s="11" t="s">
        <v>159</v>
      </c>
      <c r="J45" s="11" t="s">
        <v>160</v>
      </c>
      <c r="K45" s="11" t="s">
        <v>165</v>
      </c>
      <c r="L45" s="11" t="s">
        <v>56</v>
      </c>
      <c r="M45" s="6"/>
    </row>
    <row r="46" spans="1:13" ht="28.5">
      <c r="A46" s="20">
        <v>46190</v>
      </c>
      <c r="B46" s="11" t="s">
        <v>166</v>
      </c>
      <c r="C46" s="11" t="s">
        <v>186</v>
      </c>
      <c r="D46" s="11" t="s">
        <v>156</v>
      </c>
      <c r="E46" s="11" t="s">
        <v>5</v>
      </c>
      <c r="F46" s="11" t="s">
        <v>167</v>
      </c>
      <c r="G46" s="11" t="s">
        <v>25</v>
      </c>
      <c r="H46" s="11" t="s">
        <v>168</v>
      </c>
      <c r="I46" s="11" t="s">
        <v>159</v>
      </c>
      <c r="J46" s="11" t="s">
        <v>160</v>
      </c>
      <c r="K46" s="11" t="s">
        <v>169</v>
      </c>
      <c r="L46" s="11" t="s">
        <v>56</v>
      </c>
      <c r="M46" s="6"/>
    </row>
    <row r="47" spans="1:13" ht="42.75">
      <c r="A47" s="20">
        <v>46191</v>
      </c>
      <c r="B47" s="11" t="s">
        <v>170</v>
      </c>
      <c r="C47" s="11" t="s">
        <v>186</v>
      </c>
      <c r="D47" s="11" t="s">
        <v>156</v>
      </c>
      <c r="E47" s="11" t="s">
        <v>5</v>
      </c>
      <c r="F47" s="11" t="s">
        <v>171</v>
      </c>
      <c r="G47" s="11" t="s">
        <v>25</v>
      </c>
      <c r="H47" s="11" t="s">
        <v>172</v>
      </c>
      <c r="I47" s="11" t="s">
        <v>159</v>
      </c>
      <c r="J47" s="11" t="s">
        <v>160</v>
      </c>
      <c r="K47" s="11" t="s">
        <v>173</v>
      </c>
      <c r="L47" s="11" t="s">
        <v>56</v>
      </c>
      <c r="M47" s="6"/>
    </row>
    <row r="48" spans="1:13" ht="28.5">
      <c r="A48" s="20">
        <v>46192</v>
      </c>
      <c r="B48" s="11" t="s">
        <v>174</v>
      </c>
      <c r="C48" s="11" t="s">
        <v>186</v>
      </c>
      <c r="D48" s="11" t="s">
        <v>156</v>
      </c>
      <c r="E48" s="11" t="s">
        <v>5</v>
      </c>
      <c r="F48" s="11" t="s">
        <v>175</v>
      </c>
      <c r="G48" s="11" t="s">
        <v>25</v>
      </c>
      <c r="H48" s="11" t="s">
        <v>176</v>
      </c>
      <c r="I48" s="11" t="s">
        <v>177</v>
      </c>
      <c r="J48" s="11" t="s">
        <v>160</v>
      </c>
      <c r="K48" s="11" t="s">
        <v>178</v>
      </c>
      <c r="L48" s="11" t="s">
        <v>56</v>
      </c>
      <c r="M48" s="6"/>
    </row>
    <row r="49" spans="1:13" ht="28.5">
      <c r="A49" s="20">
        <v>46195</v>
      </c>
      <c r="B49" s="11" t="s">
        <v>154</v>
      </c>
      <c r="C49" s="11" t="s">
        <v>187</v>
      </c>
      <c r="D49" s="11" t="s">
        <v>156</v>
      </c>
      <c r="E49" s="11" t="s">
        <v>5</v>
      </c>
      <c r="F49" s="11" t="s">
        <v>157</v>
      </c>
      <c r="G49" s="11" t="s">
        <v>25</v>
      </c>
      <c r="H49" s="11" t="s">
        <v>158</v>
      </c>
      <c r="I49" s="11" t="s">
        <v>159</v>
      </c>
      <c r="J49" s="11" t="s">
        <v>160</v>
      </c>
      <c r="K49" s="11" t="s">
        <v>161</v>
      </c>
      <c r="L49" s="11" t="s">
        <v>56</v>
      </c>
      <c r="M49" s="6"/>
    </row>
    <row r="50" spans="1:13" ht="28.5">
      <c r="A50" s="20">
        <v>46196</v>
      </c>
      <c r="B50" s="11" t="s">
        <v>162</v>
      </c>
      <c r="C50" s="11" t="s">
        <v>187</v>
      </c>
      <c r="D50" s="11" t="s">
        <v>156</v>
      </c>
      <c r="E50" s="11" t="s">
        <v>5</v>
      </c>
      <c r="F50" s="11" t="s">
        <v>163</v>
      </c>
      <c r="G50" s="11" t="s">
        <v>25</v>
      </c>
      <c r="H50" s="11" t="s">
        <v>164</v>
      </c>
      <c r="I50" s="11" t="s">
        <v>159</v>
      </c>
      <c r="J50" s="11" t="s">
        <v>160</v>
      </c>
      <c r="K50" s="11" t="s">
        <v>165</v>
      </c>
      <c r="L50" s="11" t="s">
        <v>56</v>
      </c>
      <c r="M50" s="6"/>
    </row>
    <row r="51" spans="1:13" ht="28.5">
      <c r="A51" s="20">
        <v>46197</v>
      </c>
      <c r="B51" s="11" t="s">
        <v>166</v>
      </c>
      <c r="C51" s="11" t="s">
        <v>187</v>
      </c>
      <c r="D51" s="11" t="s">
        <v>156</v>
      </c>
      <c r="E51" s="11" t="s">
        <v>5</v>
      </c>
      <c r="F51" s="11" t="s">
        <v>167</v>
      </c>
      <c r="G51" s="11" t="s">
        <v>25</v>
      </c>
      <c r="H51" s="11" t="s">
        <v>168</v>
      </c>
      <c r="I51" s="11" t="s">
        <v>159</v>
      </c>
      <c r="J51" s="11" t="s">
        <v>160</v>
      </c>
      <c r="K51" s="11" t="s">
        <v>169</v>
      </c>
      <c r="L51" s="11" t="s">
        <v>56</v>
      </c>
      <c r="M51" s="6"/>
    </row>
    <row r="52" spans="1:13" ht="42.75">
      <c r="A52" s="20">
        <v>46198</v>
      </c>
      <c r="B52" s="11" t="s">
        <v>170</v>
      </c>
      <c r="C52" s="11" t="s">
        <v>187</v>
      </c>
      <c r="D52" s="11" t="s">
        <v>156</v>
      </c>
      <c r="E52" s="11" t="s">
        <v>5</v>
      </c>
      <c r="F52" s="11" t="s">
        <v>171</v>
      </c>
      <c r="G52" s="11" t="s">
        <v>25</v>
      </c>
      <c r="H52" s="11" t="s">
        <v>172</v>
      </c>
      <c r="I52" s="11" t="s">
        <v>159</v>
      </c>
      <c r="J52" s="11" t="s">
        <v>160</v>
      </c>
      <c r="K52" s="11" t="s">
        <v>173</v>
      </c>
      <c r="L52" s="11" t="s">
        <v>56</v>
      </c>
      <c r="M52" s="6"/>
    </row>
    <row r="53" spans="1:13" ht="28.5">
      <c r="A53" s="20">
        <v>46199</v>
      </c>
      <c r="B53" s="11" t="s">
        <v>174</v>
      </c>
      <c r="C53" s="11" t="s">
        <v>187</v>
      </c>
      <c r="D53" s="11" t="s">
        <v>156</v>
      </c>
      <c r="E53" s="11" t="s">
        <v>5</v>
      </c>
      <c r="F53" s="11" t="s">
        <v>175</v>
      </c>
      <c r="G53" s="11" t="s">
        <v>25</v>
      </c>
      <c r="H53" s="11" t="s">
        <v>176</v>
      </c>
      <c r="I53" s="11" t="s">
        <v>177</v>
      </c>
      <c r="J53" s="11" t="s">
        <v>160</v>
      </c>
      <c r="K53" s="11" t="s">
        <v>178</v>
      </c>
      <c r="L53" s="11" t="s">
        <v>56</v>
      </c>
      <c r="M53" s="6"/>
    </row>
    <row r="54" spans="1:13" ht="28.5">
      <c r="A54" s="20">
        <v>46202</v>
      </c>
      <c r="B54" s="11" t="s">
        <v>154</v>
      </c>
      <c r="C54" s="11" t="s">
        <v>188</v>
      </c>
      <c r="D54" s="11" t="s">
        <v>156</v>
      </c>
      <c r="E54" s="11" t="s">
        <v>5</v>
      </c>
      <c r="F54" s="11" t="s">
        <v>157</v>
      </c>
      <c r="G54" s="11" t="s">
        <v>25</v>
      </c>
      <c r="H54" s="11" t="s">
        <v>158</v>
      </c>
      <c r="I54" s="11" t="s">
        <v>159</v>
      </c>
      <c r="J54" s="11" t="s">
        <v>160</v>
      </c>
      <c r="K54" s="11" t="s">
        <v>161</v>
      </c>
      <c r="L54" s="11" t="s">
        <v>56</v>
      </c>
      <c r="M54" s="6"/>
    </row>
    <row r="55" spans="1:13" ht="28.5">
      <c r="A55" s="20">
        <v>46203</v>
      </c>
      <c r="B55" s="11" t="s">
        <v>162</v>
      </c>
      <c r="C55" s="11" t="s">
        <v>188</v>
      </c>
      <c r="D55" s="11" t="s">
        <v>156</v>
      </c>
      <c r="E55" s="11" t="s">
        <v>5</v>
      </c>
      <c r="F55" s="11" t="s">
        <v>163</v>
      </c>
      <c r="G55" s="11" t="s">
        <v>25</v>
      </c>
      <c r="H55" s="11" t="s">
        <v>164</v>
      </c>
      <c r="I55" s="11" t="s">
        <v>159</v>
      </c>
      <c r="J55" s="11" t="s">
        <v>160</v>
      </c>
      <c r="K55" s="11" t="s">
        <v>165</v>
      </c>
      <c r="L55" s="11" t="s">
        <v>56</v>
      </c>
      <c r="M55" s="6"/>
    </row>
    <row r="56" spans="1:13" ht="28.5">
      <c r="A56" s="20">
        <v>46204</v>
      </c>
      <c r="B56" s="11" t="s">
        <v>166</v>
      </c>
      <c r="C56" s="11" t="s">
        <v>188</v>
      </c>
      <c r="D56" s="11" t="s">
        <v>156</v>
      </c>
      <c r="E56" s="11" t="s">
        <v>5</v>
      </c>
      <c r="F56" s="11" t="s">
        <v>167</v>
      </c>
      <c r="G56" s="11" t="s">
        <v>25</v>
      </c>
      <c r="H56" s="11" t="s">
        <v>168</v>
      </c>
      <c r="I56" s="11" t="s">
        <v>159</v>
      </c>
      <c r="J56" s="11" t="s">
        <v>160</v>
      </c>
      <c r="K56" s="11" t="s">
        <v>169</v>
      </c>
      <c r="L56" s="11" t="s">
        <v>56</v>
      </c>
      <c r="M56" s="6"/>
    </row>
    <row r="57" spans="1:13" ht="42.75">
      <c r="A57" s="20">
        <v>46205</v>
      </c>
      <c r="B57" s="11" t="s">
        <v>170</v>
      </c>
      <c r="C57" s="11" t="s">
        <v>188</v>
      </c>
      <c r="D57" s="11" t="s">
        <v>156</v>
      </c>
      <c r="E57" s="11" t="s">
        <v>5</v>
      </c>
      <c r="F57" s="11" t="s">
        <v>171</v>
      </c>
      <c r="G57" s="11" t="s">
        <v>25</v>
      </c>
      <c r="H57" s="11" t="s">
        <v>172</v>
      </c>
      <c r="I57" s="11" t="s">
        <v>159</v>
      </c>
      <c r="J57" s="11" t="s">
        <v>160</v>
      </c>
      <c r="K57" s="11" t="s">
        <v>173</v>
      </c>
      <c r="L57" s="11" t="s">
        <v>56</v>
      </c>
      <c r="M57" s="6"/>
    </row>
    <row r="58" spans="1:13" ht="28.5">
      <c r="A58" s="20">
        <v>46206</v>
      </c>
      <c r="B58" s="11" t="s">
        <v>174</v>
      </c>
      <c r="C58" s="11" t="s">
        <v>188</v>
      </c>
      <c r="D58" s="11" t="s">
        <v>156</v>
      </c>
      <c r="E58" s="11" t="s">
        <v>5</v>
      </c>
      <c r="F58" s="11" t="s">
        <v>175</v>
      </c>
      <c r="G58" s="11" t="s">
        <v>25</v>
      </c>
      <c r="H58" s="11" t="s">
        <v>176</v>
      </c>
      <c r="I58" s="11" t="s">
        <v>177</v>
      </c>
      <c r="J58" s="11" t="s">
        <v>160</v>
      </c>
      <c r="K58" s="11" t="s">
        <v>178</v>
      </c>
      <c r="L58" s="11" t="s">
        <v>56</v>
      </c>
      <c r="M58" s="6"/>
    </row>
    <row r="59" spans="1:13" ht="28.5">
      <c r="A59" s="20">
        <v>46209</v>
      </c>
      <c r="B59" s="11" t="s">
        <v>154</v>
      </c>
      <c r="C59" s="11" t="s">
        <v>189</v>
      </c>
      <c r="D59" s="11" t="s">
        <v>156</v>
      </c>
      <c r="E59" s="11" t="s">
        <v>5</v>
      </c>
      <c r="F59" s="11" t="s">
        <v>157</v>
      </c>
      <c r="G59" s="11" t="s">
        <v>25</v>
      </c>
      <c r="H59" s="11" t="s">
        <v>158</v>
      </c>
      <c r="I59" s="11" t="s">
        <v>159</v>
      </c>
      <c r="J59" s="11" t="s">
        <v>160</v>
      </c>
      <c r="K59" s="11" t="s">
        <v>161</v>
      </c>
      <c r="L59" s="11" t="s">
        <v>56</v>
      </c>
      <c r="M59" s="6"/>
    </row>
    <row r="60" spans="1:13" ht="28.5">
      <c r="A60" s="20">
        <v>46210</v>
      </c>
      <c r="B60" s="11" t="s">
        <v>162</v>
      </c>
      <c r="C60" s="11" t="s">
        <v>189</v>
      </c>
      <c r="D60" s="11" t="s">
        <v>156</v>
      </c>
      <c r="E60" s="11" t="s">
        <v>5</v>
      </c>
      <c r="F60" s="11" t="s">
        <v>163</v>
      </c>
      <c r="G60" s="11" t="s">
        <v>25</v>
      </c>
      <c r="H60" s="11" t="s">
        <v>164</v>
      </c>
      <c r="I60" s="11" t="s">
        <v>159</v>
      </c>
      <c r="J60" s="11" t="s">
        <v>160</v>
      </c>
      <c r="K60" s="11" t="s">
        <v>165</v>
      </c>
      <c r="L60" s="11" t="s">
        <v>56</v>
      </c>
      <c r="M60" s="6"/>
    </row>
    <row r="61" spans="1:13" ht="28.5">
      <c r="A61" s="20">
        <v>46211</v>
      </c>
      <c r="B61" s="11" t="s">
        <v>166</v>
      </c>
      <c r="C61" s="11" t="s">
        <v>189</v>
      </c>
      <c r="D61" s="11" t="s">
        <v>156</v>
      </c>
      <c r="E61" s="11" t="s">
        <v>5</v>
      </c>
      <c r="F61" s="11" t="s">
        <v>167</v>
      </c>
      <c r="G61" s="11" t="s">
        <v>25</v>
      </c>
      <c r="H61" s="11" t="s">
        <v>168</v>
      </c>
      <c r="I61" s="11" t="s">
        <v>159</v>
      </c>
      <c r="J61" s="11" t="s">
        <v>160</v>
      </c>
      <c r="K61" s="11" t="s">
        <v>169</v>
      </c>
      <c r="L61" s="11" t="s">
        <v>56</v>
      </c>
      <c r="M61" s="6"/>
    </row>
    <row r="62" spans="1:13" ht="42.75">
      <c r="A62" s="20">
        <v>46212</v>
      </c>
      <c r="B62" s="11" t="s">
        <v>170</v>
      </c>
      <c r="C62" s="11" t="s">
        <v>189</v>
      </c>
      <c r="D62" s="11" t="s">
        <v>156</v>
      </c>
      <c r="E62" s="11" t="s">
        <v>5</v>
      </c>
      <c r="F62" s="11" t="s">
        <v>171</v>
      </c>
      <c r="G62" s="11" t="s">
        <v>25</v>
      </c>
      <c r="H62" s="11" t="s">
        <v>172</v>
      </c>
      <c r="I62" s="11" t="s">
        <v>159</v>
      </c>
      <c r="J62" s="11" t="s">
        <v>160</v>
      </c>
      <c r="K62" s="11" t="s">
        <v>173</v>
      </c>
      <c r="L62" s="11" t="s">
        <v>56</v>
      </c>
      <c r="M62" s="6"/>
    </row>
    <row r="63" spans="1:13" ht="28.5">
      <c r="A63" s="20">
        <v>46213</v>
      </c>
      <c r="B63" s="11" t="s">
        <v>174</v>
      </c>
      <c r="C63" s="11" t="s">
        <v>189</v>
      </c>
      <c r="D63" s="11" t="s">
        <v>156</v>
      </c>
      <c r="E63" s="11" t="s">
        <v>5</v>
      </c>
      <c r="F63" s="11" t="s">
        <v>175</v>
      </c>
      <c r="G63" s="11" t="s">
        <v>25</v>
      </c>
      <c r="H63" s="11" t="s">
        <v>176</v>
      </c>
      <c r="I63" s="11" t="s">
        <v>177</v>
      </c>
      <c r="J63" s="11" t="s">
        <v>160</v>
      </c>
      <c r="K63" s="11" t="s">
        <v>178</v>
      </c>
      <c r="L63" s="11" t="s">
        <v>56</v>
      </c>
      <c r="M63" s="6"/>
    </row>
    <row r="64" spans="1:13" ht="42.75">
      <c r="A64" s="20">
        <v>46216</v>
      </c>
      <c r="B64" s="11" t="s">
        <v>154</v>
      </c>
      <c r="C64" s="11" t="s">
        <v>190</v>
      </c>
      <c r="D64" s="11" t="s">
        <v>156</v>
      </c>
      <c r="E64" s="11" t="s">
        <v>5</v>
      </c>
      <c r="F64" s="11" t="s">
        <v>157</v>
      </c>
      <c r="G64" s="11" t="s">
        <v>25</v>
      </c>
      <c r="H64" s="11" t="s">
        <v>158</v>
      </c>
      <c r="I64" s="11" t="s">
        <v>159</v>
      </c>
      <c r="J64" s="11" t="s">
        <v>160</v>
      </c>
      <c r="K64" s="11" t="s">
        <v>161</v>
      </c>
      <c r="L64" s="11" t="s">
        <v>56</v>
      </c>
      <c r="M64" s="6"/>
    </row>
    <row r="65" spans="1:13" ht="42.75">
      <c r="A65" s="20">
        <v>46217</v>
      </c>
      <c r="B65" s="11" t="s">
        <v>162</v>
      </c>
      <c r="C65" s="11" t="s">
        <v>190</v>
      </c>
      <c r="D65" s="11" t="s">
        <v>156</v>
      </c>
      <c r="E65" s="11" t="s">
        <v>5</v>
      </c>
      <c r="F65" s="11" t="s">
        <v>163</v>
      </c>
      <c r="G65" s="11" t="s">
        <v>25</v>
      </c>
      <c r="H65" s="11" t="s">
        <v>164</v>
      </c>
      <c r="I65" s="11" t="s">
        <v>159</v>
      </c>
      <c r="J65" s="11" t="s">
        <v>160</v>
      </c>
      <c r="K65" s="11" t="s">
        <v>165</v>
      </c>
      <c r="L65" s="11" t="s">
        <v>56</v>
      </c>
      <c r="M65" s="6"/>
    </row>
    <row r="66" spans="1:13" ht="42.75">
      <c r="A66" s="20">
        <v>46218</v>
      </c>
      <c r="B66" s="11" t="s">
        <v>166</v>
      </c>
      <c r="C66" s="11" t="s">
        <v>190</v>
      </c>
      <c r="D66" s="11" t="s">
        <v>156</v>
      </c>
      <c r="E66" s="11" t="s">
        <v>5</v>
      </c>
      <c r="F66" s="11" t="s">
        <v>167</v>
      </c>
      <c r="G66" s="11" t="s">
        <v>25</v>
      </c>
      <c r="H66" s="11" t="s">
        <v>168</v>
      </c>
      <c r="I66" s="11" t="s">
        <v>159</v>
      </c>
      <c r="J66" s="11" t="s">
        <v>160</v>
      </c>
      <c r="K66" s="11" t="s">
        <v>169</v>
      </c>
      <c r="L66" s="11" t="s">
        <v>56</v>
      </c>
      <c r="M66" s="6"/>
    </row>
    <row r="67" spans="1:13" ht="42.75">
      <c r="A67" s="20">
        <v>46219</v>
      </c>
      <c r="B67" s="11" t="s">
        <v>170</v>
      </c>
      <c r="C67" s="11" t="s">
        <v>190</v>
      </c>
      <c r="D67" s="11" t="s">
        <v>156</v>
      </c>
      <c r="E67" s="11" t="s">
        <v>5</v>
      </c>
      <c r="F67" s="11" t="s">
        <v>171</v>
      </c>
      <c r="G67" s="11" t="s">
        <v>25</v>
      </c>
      <c r="H67" s="11" t="s">
        <v>172</v>
      </c>
      <c r="I67" s="11" t="s">
        <v>159</v>
      </c>
      <c r="J67" s="11" t="s">
        <v>160</v>
      </c>
      <c r="K67" s="11" t="s">
        <v>173</v>
      </c>
      <c r="L67" s="11" t="s">
        <v>56</v>
      </c>
      <c r="M67" s="6"/>
    </row>
    <row r="68" spans="1:13" ht="42.75">
      <c r="A68" s="20">
        <v>46220</v>
      </c>
      <c r="B68" s="11" t="s">
        <v>174</v>
      </c>
      <c r="C68" s="11" t="s">
        <v>190</v>
      </c>
      <c r="D68" s="11" t="s">
        <v>156</v>
      </c>
      <c r="E68" s="11" t="s">
        <v>5</v>
      </c>
      <c r="F68" s="11" t="s">
        <v>175</v>
      </c>
      <c r="G68" s="11" t="s">
        <v>25</v>
      </c>
      <c r="H68" s="11" t="s">
        <v>176</v>
      </c>
      <c r="I68" s="11" t="s">
        <v>177</v>
      </c>
      <c r="J68" s="11" t="s">
        <v>160</v>
      </c>
      <c r="K68" s="11" t="s">
        <v>178</v>
      </c>
      <c r="L68" s="11" t="s">
        <v>56</v>
      </c>
      <c r="M68" s="6"/>
    </row>
    <row r="69" spans="1:13" ht="42.75">
      <c r="A69" s="20">
        <v>46223</v>
      </c>
      <c r="B69" s="11" t="s">
        <v>154</v>
      </c>
      <c r="C69" s="11" t="s">
        <v>191</v>
      </c>
      <c r="D69" s="11" t="s">
        <v>156</v>
      </c>
      <c r="E69" s="11" t="s">
        <v>5</v>
      </c>
      <c r="F69" s="11" t="s">
        <v>157</v>
      </c>
      <c r="G69" s="11" t="s">
        <v>25</v>
      </c>
      <c r="H69" s="11" t="s">
        <v>158</v>
      </c>
      <c r="I69" s="11" t="s">
        <v>159</v>
      </c>
      <c r="J69" s="11" t="s">
        <v>160</v>
      </c>
      <c r="K69" s="11" t="s">
        <v>161</v>
      </c>
      <c r="L69" s="11" t="s">
        <v>56</v>
      </c>
      <c r="M69" s="6"/>
    </row>
    <row r="70" spans="1:13" ht="42.75">
      <c r="A70" s="20">
        <v>46224</v>
      </c>
      <c r="B70" s="11" t="s">
        <v>162</v>
      </c>
      <c r="C70" s="11" t="s">
        <v>191</v>
      </c>
      <c r="D70" s="11" t="s">
        <v>156</v>
      </c>
      <c r="E70" s="11" t="s">
        <v>5</v>
      </c>
      <c r="F70" s="11" t="s">
        <v>163</v>
      </c>
      <c r="G70" s="11" t="s">
        <v>25</v>
      </c>
      <c r="H70" s="11" t="s">
        <v>164</v>
      </c>
      <c r="I70" s="11" t="s">
        <v>159</v>
      </c>
      <c r="J70" s="11" t="s">
        <v>160</v>
      </c>
      <c r="K70" s="11" t="s">
        <v>165</v>
      </c>
      <c r="L70" s="11" t="s">
        <v>56</v>
      </c>
      <c r="M70" s="6"/>
    </row>
    <row r="71" spans="1:13" ht="42.75">
      <c r="A71" s="20">
        <v>46225</v>
      </c>
      <c r="B71" s="11" t="s">
        <v>166</v>
      </c>
      <c r="C71" s="11" t="s">
        <v>191</v>
      </c>
      <c r="D71" s="11" t="s">
        <v>156</v>
      </c>
      <c r="E71" s="11" t="s">
        <v>5</v>
      </c>
      <c r="F71" s="11" t="s">
        <v>167</v>
      </c>
      <c r="G71" s="11" t="s">
        <v>25</v>
      </c>
      <c r="H71" s="11" t="s">
        <v>168</v>
      </c>
      <c r="I71" s="11" t="s">
        <v>159</v>
      </c>
      <c r="J71" s="11" t="s">
        <v>160</v>
      </c>
      <c r="K71" s="11" t="s">
        <v>169</v>
      </c>
      <c r="L71" s="11" t="s">
        <v>56</v>
      </c>
      <c r="M71" s="6"/>
    </row>
    <row r="72" spans="1:13" ht="42.75">
      <c r="A72" s="20">
        <v>46226</v>
      </c>
      <c r="B72" s="11" t="s">
        <v>170</v>
      </c>
      <c r="C72" s="11" t="s">
        <v>191</v>
      </c>
      <c r="D72" s="11" t="s">
        <v>156</v>
      </c>
      <c r="E72" s="11" t="s">
        <v>5</v>
      </c>
      <c r="F72" s="11" t="s">
        <v>171</v>
      </c>
      <c r="G72" s="11" t="s">
        <v>25</v>
      </c>
      <c r="H72" s="11" t="s">
        <v>172</v>
      </c>
      <c r="I72" s="11" t="s">
        <v>159</v>
      </c>
      <c r="J72" s="11" t="s">
        <v>160</v>
      </c>
      <c r="K72" s="11" t="s">
        <v>173</v>
      </c>
      <c r="L72" s="11" t="s">
        <v>56</v>
      </c>
      <c r="M72" s="6"/>
    </row>
    <row r="73" spans="1:13" ht="42.75">
      <c r="A73" s="20">
        <v>46227</v>
      </c>
      <c r="B73" s="11" t="s">
        <v>174</v>
      </c>
      <c r="C73" s="11" t="s">
        <v>191</v>
      </c>
      <c r="D73" s="11" t="s">
        <v>156</v>
      </c>
      <c r="E73" s="11" t="s">
        <v>5</v>
      </c>
      <c r="F73" s="11" t="s">
        <v>175</v>
      </c>
      <c r="G73" s="11" t="s">
        <v>25</v>
      </c>
      <c r="H73" s="11" t="s">
        <v>176</v>
      </c>
      <c r="I73" s="11" t="s">
        <v>177</v>
      </c>
      <c r="J73" s="11" t="s">
        <v>160</v>
      </c>
      <c r="K73" s="11" t="s">
        <v>178</v>
      </c>
      <c r="L73" s="11" t="s">
        <v>56</v>
      </c>
      <c r="M73" s="6"/>
    </row>
    <row r="74" spans="1:13" ht="28.5">
      <c r="A74" s="20">
        <v>46230</v>
      </c>
      <c r="B74" s="11" t="s">
        <v>154</v>
      </c>
      <c r="C74" s="11" t="s">
        <v>192</v>
      </c>
      <c r="D74" s="11" t="s">
        <v>156</v>
      </c>
      <c r="E74" s="11" t="s">
        <v>5</v>
      </c>
      <c r="F74" s="11" t="s">
        <v>157</v>
      </c>
      <c r="G74" s="11" t="s">
        <v>25</v>
      </c>
      <c r="H74" s="11" t="s">
        <v>158</v>
      </c>
      <c r="I74" s="11" t="s">
        <v>159</v>
      </c>
      <c r="J74" s="11" t="s">
        <v>160</v>
      </c>
      <c r="K74" s="11" t="s">
        <v>161</v>
      </c>
      <c r="L74" s="11" t="s">
        <v>56</v>
      </c>
      <c r="M74" s="6"/>
    </row>
    <row r="75" spans="1:13" ht="28.5">
      <c r="A75" s="20">
        <v>46231</v>
      </c>
      <c r="B75" s="11" t="s">
        <v>162</v>
      </c>
      <c r="C75" s="11" t="s">
        <v>192</v>
      </c>
      <c r="D75" s="11" t="s">
        <v>156</v>
      </c>
      <c r="E75" s="11" t="s">
        <v>5</v>
      </c>
      <c r="F75" s="11" t="s">
        <v>163</v>
      </c>
      <c r="G75" s="11" t="s">
        <v>25</v>
      </c>
      <c r="H75" s="11" t="s">
        <v>164</v>
      </c>
      <c r="I75" s="11" t="s">
        <v>159</v>
      </c>
      <c r="J75" s="11" t="s">
        <v>160</v>
      </c>
      <c r="K75" s="11" t="s">
        <v>165</v>
      </c>
      <c r="L75" s="11" t="s">
        <v>56</v>
      </c>
      <c r="M75" s="6"/>
    </row>
    <row r="76" spans="1:13" ht="28.5">
      <c r="A76" s="20">
        <v>46232</v>
      </c>
      <c r="B76" s="11" t="s">
        <v>166</v>
      </c>
      <c r="C76" s="11" t="s">
        <v>192</v>
      </c>
      <c r="D76" s="11" t="s">
        <v>156</v>
      </c>
      <c r="E76" s="11" t="s">
        <v>5</v>
      </c>
      <c r="F76" s="11" t="s">
        <v>167</v>
      </c>
      <c r="G76" s="11" t="s">
        <v>25</v>
      </c>
      <c r="H76" s="11" t="s">
        <v>168</v>
      </c>
      <c r="I76" s="11" t="s">
        <v>159</v>
      </c>
      <c r="J76" s="11" t="s">
        <v>160</v>
      </c>
      <c r="K76" s="11" t="s">
        <v>169</v>
      </c>
      <c r="L76" s="11" t="s">
        <v>56</v>
      </c>
      <c r="M76" s="6"/>
    </row>
    <row r="77" spans="1:13" ht="42.75">
      <c r="A77" s="20">
        <v>46233</v>
      </c>
      <c r="B77" s="11" t="s">
        <v>170</v>
      </c>
      <c r="C77" s="11" t="s">
        <v>192</v>
      </c>
      <c r="D77" s="11" t="s">
        <v>156</v>
      </c>
      <c r="E77" s="11" t="s">
        <v>5</v>
      </c>
      <c r="F77" s="11" t="s">
        <v>171</v>
      </c>
      <c r="G77" s="11" t="s">
        <v>25</v>
      </c>
      <c r="H77" s="11" t="s">
        <v>172</v>
      </c>
      <c r="I77" s="11" t="s">
        <v>159</v>
      </c>
      <c r="J77" s="11" t="s">
        <v>160</v>
      </c>
      <c r="K77" s="11" t="s">
        <v>173</v>
      </c>
      <c r="L77" s="11" t="s">
        <v>56</v>
      </c>
      <c r="M77" s="6"/>
    </row>
    <row r="78" spans="1:13" ht="28.5">
      <c r="A78" s="20">
        <v>46234</v>
      </c>
      <c r="B78" s="11" t="s">
        <v>174</v>
      </c>
      <c r="C78" s="11" t="s">
        <v>192</v>
      </c>
      <c r="D78" s="11" t="s">
        <v>156</v>
      </c>
      <c r="E78" s="11" t="s">
        <v>5</v>
      </c>
      <c r="F78" s="11" t="s">
        <v>175</v>
      </c>
      <c r="G78" s="11" t="s">
        <v>25</v>
      </c>
      <c r="H78" s="11" t="s">
        <v>176</v>
      </c>
      <c r="I78" s="11" t="s">
        <v>177</v>
      </c>
      <c r="J78" s="11" t="s">
        <v>160</v>
      </c>
      <c r="K78" s="11" t="s">
        <v>178</v>
      </c>
      <c r="L78" s="11" t="s">
        <v>56</v>
      </c>
      <c r="M78" s="6"/>
    </row>
    <row r="79" spans="1:13" ht="28.5">
      <c r="A79" s="20">
        <v>46237</v>
      </c>
      <c r="B79" s="11" t="s">
        <v>154</v>
      </c>
      <c r="C79" s="11" t="s">
        <v>193</v>
      </c>
      <c r="D79" s="11" t="s">
        <v>156</v>
      </c>
      <c r="E79" s="11" t="s">
        <v>5</v>
      </c>
      <c r="F79" s="11" t="s">
        <v>157</v>
      </c>
      <c r="G79" s="11" t="s">
        <v>25</v>
      </c>
      <c r="H79" s="11" t="s">
        <v>158</v>
      </c>
      <c r="I79" s="11" t="s">
        <v>159</v>
      </c>
      <c r="J79" s="11" t="s">
        <v>160</v>
      </c>
      <c r="K79" s="11" t="s">
        <v>161</v>
      </c>
      <c r="L79" s="11" t="s">
        <v>56</v>
      </c>
      <c r="M79" s="6"/>
    </row>
    <row r="80" spans="1:13" ht="28.5">
      <c r="A80" s="20">
        <v>46238</v>
      </c>
      <c r="B80" s="11" t="s">
        <v>162</v>
      </c>
      <c r="C80" s="11" t="s">
        <v>193</v>
      </c>
      <c r="D80" s="11" t="s">
        <v>156</v>
      </c>
      <c r="E80" s="11" t="s">
        <v>5</v>
      </c>
      <c r="F80" s="11" t="s">
        <v>163</v>
      </c>
      <c r="G80" s="11" t="s">
        <v>25</v>
      </c>
      <c r="H80" s="11" t="s">
        <v>164</v>
      </c>
      <c r="I80" s="11" t="s">
        <v>159</v>
      </c>
      <c r="J80" s="11" t="s">
        <v>160</v>
      </c>
      <c r="K80" s="11" t="s">
        <v>165</v>
      </c>
      <c r="L80" s="11" t="s">
        <v>56</v>
      </c>
      <c r="M80" s="6"/>
    </row>
    <row r="81" spans="1:13" ht="28.5">
      <c r="A81" s="20">
        <v>46239</v>
      </c>
      <c r="B81" s="11" t="s">
        <v>166</v>
      </c>
      <c r="C81" s="11" t="s">
        <v>193</v>
      </c>
      <c r="D81" s="11" t="s">
        <v>156</v>
      </c>
      <c r="E81" s="11" t="s">
        <v>5</v>
      </c>
      <c r="F81" s="11" t="s">
        <v>167</v>
      </c>
      <c r="G81" s="11" t="s">
        <v>25</v>
      </c>
      <c r="H81" s="11" t="s">
        <v>168</v>
      </c>
      <c r="I81" s="11" t="s">
        <v>159</v>
      </c>
      <c r="J81" s="11" t="s">
        <v>160</v>
      </c>
      <c r="K81" s="11" t="s">
        <v>169</v>
      </c>
      <c r="L81" s="11" t="s">
        <v>56</v>
      </c>
      <c r="M81" s="6"/>
    </row>
    <row r="82" spans="1:13" ht="42.75">
      <c r="A82" s="20">
        <v>46240</v>
      </c>
      <c r="B82" s="11" t="s">
        <v>170</v>
      </c>
      <c r="C82" s="11" t="s">
        <v>193</v>
      </c>
      <c r="D82" s="11" t="s">
        <v>156</v>
      </c>
      <c r="E82" s="11" t="s">
        <v>5</v>
      </c>
      <c r="F82" s="11" t="s">
        <v>171</v>
      </c>
      <c r="G82" s="11" t="s">
        <v>25</v>
      </c>
      <c r="H82" s="11" t="s">
        <v>172</v>
      </c>
      <c r="I82" s="11" t="s">
        <v>159</v>
      </c>
      <c r="J82" s="11" t="s">
        <v>160</v>
      </c>
      <c r="K82" s="11" t="s">
        <v>173</v>
      </c>
      <c r="L82" s="11" t="s">
        <v>56</v>
      </c>
      <c r="M82" s="6"/>
    </row>
    <row r="83" spans="1:13" ht="28.5">
      <c r="A83" s="21">
        <v>46241</v>
      </c>
      <c r="B83" s="12" t="s">
        <v>174</v>
      </c>
      <c r="C83" s="12" t="s">
        <v>193</v>
      </c>
      <c r="D83" s="12" t="s">
        <v>156</v>
      </c>
      <c r="E83" s="12" t="s">
        <v>5</v>
      </c>
      <c r="F83" s="12" t="s">
        <v>175</v>
      </c>
      <c r="G83" s="12" t="s">
        <v>25</v>
      </c>
      <c r="H83" s="12" t="s">
        <v>176</v>
      </c>
      <c r="I83" s="12" t="s">
        <v>177</v>
      </c>
      <c r="J83" s="12" t="s">
        <v>160</v>
      </c>
      <c r="K83" s="12" t="s">
        <v>178</v>
      </c>
      <c r="L83" s="12" t="s">
        <v>56</v>
      </c>
      <c r="M83" s="8"/>
    </row>
  </sheetData>
  <mergeCells count="1">
    <mergeCell ref="A1:M1"/>
  </mergeCells>
  <conditionalFormatting sqref="A4:A83">
    <cfRule type="expression" dxfId="3" priority="4">
      <formula>WEEKDAY(A4,2)&gt;5</formula>
    </cfRule>
  </conditionalFormatting>
  <conditionalFormatting sqref="L4:L83">
    <cfRule type="expression" dxfId="2" priority="1">
      <formula>L4="Done"</formula>
    </cfRule>
    <cfRule type="expression" dxfId="1" priority="2">
      <formula>L4="In Progress"</formula>
    </cfRule>
    <cfRule type="expression" dxfId="0" priority="3">
      <formula>L4="Missed"</formula>
    </cfRule>
  </conditionalFormatting>
  <dataValidations count="1">
    <dataValidation type="list" sqref="L4:L83" xr:uid="{00000000-0002-0000-0300-000000000000}">
      <formula1>"Not Started,In Progress,Done,Missed"</formula1>
    </dataValidation>
  </dataValidations>
  <printOptions horizontalCentered="1" headings="1" gridLines="1"/>
  <pageMargins left="0.25" right="0.25" top="0.75" bottom="0.75" header="0.3" footer="0.3"/>
  <pageSetup scale="18" orientation="landscape" blackAndWhite="1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defaultRowHeight="14.25"/>
  <cols>
    <col min="1" max="7" width="21" customWidth="1"/>
  </cols>
  <sheetData>
    <row r="1" spans="1:7" ht="24" customHeight="1">
      <c r="A1" s="30" t="s">
        <v>194</v>
      </c>
      <c r="B1" s="31"/>
      <c r="C1" s="31"/>
      <c r="D1" s="31"/>
      <c r="E1" s="31"/>
      <c r="F1" s="31"/>
      <c r="G1" s="32"/>
    </row>
    <row r="3" spans="1:7" ht="15">
      <c r="A3" s="13" t="s">
        <v>154</v>
      </c>
      <c r="B3" s="14" t="s">
        <v>162</v>
      </c>
      <c r="C3" s="14" t="s">
        <v>166</v>
      </c>
      <c r="D3" s="14" t="s">
        <v>170</v>
      </c>
      <c r="E3" s="14" t="s">
        <v>174</v>
      </c>
      <c r="F3" s="14" t="s">
        <v>195</v>
      </c>
      <c r="G3" s="15" t="s">
        <v>196</v>
      </c>
    </row>
    <row r="4" spans="1:7" ht="57.95" customHeight="1">
      <c r="A4" s="33" t="s">
        <v>197</v>
      </c>
      <c r="B4" s="33" t="s">
        <v>198</v>
      </c>
      <c r="C4" s="29" t="s">
        <v>199</v>
      </c>
      <c r="D4" s="29" t="s">
        <v>200</v>
      </c>
      <c r="E4" s="29" t="s">
        <v>201</v>
      </c>
      <c r="F4" s="27" t="s">
        <v>202</v>
      </c>
      <c r="G4" s="27" t="s">
        <v>203</v>
      </c>
    </row>
    <row r="5" spans="1:7">
      <c r="A5" s="28"/>
      <c r="B5" s="28"/>
      <c r="C5" s="28"/>
      <c r="D5" s="28"/>
      <c r="E5" s="28"/>
      <c r="F5" s="28"/>
      <c r="G5" s="28"/>
    </row>
    <row r="6" spans="1:7" ht="57.95" customHeight="1">
      <c r="A6" s="29" t="s">
        <v>204</v>
      </c>
      <c r="B6" s="29" t="s">
        <v>205</v>
      </c>
      <c r="C6" s="29" t="s">
        <v>206</v>
      </c>
      <c r="D6" s="29" t="s">
        <v>207</v>
      </c>
      <c r="E6" s="29" t="s">
        <v>208</v>
      </c>
      <c r="F6" s="27" t="s">
        <v>209</v>
      </c>
      <c r="G6" s="27" t="s">
        <v>210</v>
      </c>
    </row>
    <row r="7" spans="1:7">
      <c r="A7" s="28"/>
      <c r="B7" s="28"/>
      <c r="C7" s="28"/>
      <c r="D7" s="28"/>
      <c r="E7" s="28"/>
      <c r="F7" s="28"/>
      <c r="G7" s="28"/>
    </row>
    <row r="8" spans="1:7" ht="57.95" customHeight="1">
      <c r="A8" s="29" t="s">
        <v>211</v>
      </c>
      <c r="B8" s="29" t="s">
        <v>212</v>
      </c>
      <c r="C8" s="29" t="s">
        <v>213</v>
      </c>
      <c r="D8" s="29" t="s">
        <v>214</v>
      </c>
      <c r="E8" s="29" t="s">
        <v>215</v>
      </c>
      <c r="F8" s="27" t="s">
        <v>216</v>
      </c>
      <c r="G8" s="27" t="s">
        <v>217</v>
      </c>
    </row>
    <row r="9" spans="1:7">
      <c r="A9" s="28"/>
      <c r="B9" s="28"/>
      <c r="C9" s="28"/>
      <c r="D9" s="28"/>
      <c r="E9" s="28"/>
      <c r="F9" s="28"/>
      <c r="G9" s="28"/>
    </row>
    <row r="10" spans="1:7" ht="57.95" customHeight="1">
      <c r="A10" s="29" t="s">
        <v>218</v>
      </c>
      <c r="B10" s="29" t="s">
        <v>219</v>
      </c>
      <c r="C10" s="29" t="s">
        <v>220</v>
      </c>
      <c r="D10" s="29" t="s">
        <v>221</v>
      </c>
      <c r="E10" s="29" t="s">
        <v>222</v>
      </c>
      <c r="F10" s="27" t="s">
        <v>223</v>
      </c>
      <c r="G10" s="27" t="s">
        <v>224</v>
      </c>
    </row>
    <row r="11" spans="1:7">
      <c r="A11" s="28"/>
      <c r="B11" s="28"/>
      <c r="C11" s="28"/>
      <c r="D11" s="28"/>
      <c r="E11" s="28"/>
      <c r="F11" s="28"/>
      <c r="G11" s="28"/>
    </row>
    <row r="12" spans="1:7" ht="57.95" customHeight="1">
      <c r="A12" s="29" t="s">
        <v>225</v>
      </c>
      <c r="B12" s="29" t="s">
        <v>226</v>
      </c>
      <c r="C12" s="29" t="s">
        <v>227</v>
      </c>
      <c r="D12" s="29" t="s">
        <v>228</v>
      </c>
      <c r="E12" s="33" t="s">
        <v>229</v>
      </c>
      <c r="F12" s="33" t="s">
        <v>230</v>
      </c>
      <c r="G12" s="33" t="s">
        <v>231</v>
      </c>
    </row>
    <row r="13" spans="1:7">
      <c r="A13" s="28"/>
      <c r="B13" s="28"/>
      <c r="C13" s="28"/>
      <c r="D13" s="28"/>
      <c r="E13" s="28"/>
      <c r="F13" s="28"/>
      <c r="G13" s="28"/>
    </row>
  </sheetData>
  <mergeCells count="36">
    <mergeCell ref="A1:G1"/>
    <mergeCell ref="A4:A5"/>
    <mergeCell ref="B4:B5"/>
    <mergeCell ref="C4:C5"/>
    <mergeCell ref="D4:D5"/>
    <mergeCell ref="E4:E5"/>
    <mergeCell ref="F4:F5"/>
    <mergeCell ref="G4:G5"/>
    <mergeCell ref="F6:F7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10:F11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selection sqref="A1:G1"/>
    </sheetView>
  </sheetViews>
  <sheetFormatPr defaultRowHeight="14.25"/>
  <cols>
    <col min="1" max="7" width="21" customWidth="1"/>
  </cols>
  <sheetData>
    <row r="1" spans="1:7" ht="24" customHeight="1">
      <c r="A1" s="30" t="s">
        <v>232</v>
      </c>
      <c r="B1" s="31"/>
      <c r="C1" s="31"/>
      <c r="D1" s="31"/>
      <c r="E1" s="31"/>
      <c r="F1" s="31"/>
      <c r="G1" s="32"/>
    </row>
    <row r="3" spans="1:7" ht="15">
      <c r="A3" s="13" t="s">
        <v>154</v>
      </c>
      <c r="B3" s="14" t="s">
        <v>162</v>
      </c>
      <c r="C3" s="14" t="s">
        <v>166</v>
      </c>
      <c r="D3" s="14" t="s">
        <v>170</v>
      </c>
      <c r="E3" s="14" t="s">
        <v>174</v>
      </c>
      <c r="F3" s="14" t="s">
        <v>195</v>
      </c>
      <c r="G3" s="15" t="s">
        <v>196</v>
      </c>
    </row>
    <row r="4" spans="1:7" ht="57.95" customHeight="1">
      <c r="A4" s="33" t="s">
        <v>233</v>
      </c>
      <c r="B4" s="33" t="s">
        <v>234</v>
      </c>
      <c r="C4" s="33" t="s">
        <v>235</v>
      </c>
      <c r="D4" s="33" t="s">
        <v>197</v>
      </c>
      <c r="E4" s="29" t="s">
        <v>236</v>
      </c>
      <c r="F4" s="27" t="s">
        <v>237</v>
      </c>
      <c r="G4" s="27" t="s">
        <v>238</v>
      </c>
    </row>
    <row r="5" spans="1:7">
      <c r="A5" s="28"/>
      <c r="B5" s="28"/>
      <c r="C5" s="28"/>
      <c r="D5" s="28"/>
      <c r="E5" s="28"/>
      <c r="F5" s="28"/>
      <c r="G5" s="28"/>
    </row>
    <row r="6" spans="1:7" ht="57.95" customHeight="1">
      <c r="A6" s="29" t="s">
        <v>239</v>
      </c>
      <c r="B6" s="29" t="s">
        <v>240</v>
      </c>
      <c r="C6" s="29" t="s">
        <v>241</v>
      </c>
      <c r="D6" s="29" t="s">
        <v>242</v>
      </c>
      <c r="E6" s="29" t="s">
        <v>243</v>
      </c>
      <c r="F6" s="27" t="s">
        <v>244</v>
      </c>
      <c r="G6" s="27" t="s">
        <v>245</v>
      </c>
    </row>
    <row r="7" spans="1:7">
      <c r="A7" s="28"/>
      <c r="B7" s="28"/>
      <c r="C7" s="28"/>
      <c r="D7" s="28"/>
      <c r="E7" s="28"/>
      <c r="F7" s="28"/>
      <c r="G7" s="28"/>
    </row>
    <row r="8" spans="1:7" ht="57.95" customHeight="1">
      <c r="A8" s="29" t="s">
        <v>246</v>
      </c>
      <c r="B8" s="29" t="s">
        <v>247</v>
      </c>
      <c r="C8" s="29" t="s">
        <v>248</v>
      </c>
      <c r="D8" s="29" t="s">
        <v>249</v>
      </c>
      <c r="E8" s="29" t="s">
        <v>250</v>
      </c>
      <c r="F8" s="27" t="s">
        <v>251</v>
      </c>
      <c r="G8" s="27" t="s">
        <v>252</v>
      </c>
    </row>
    <row r="9" spans="1:7">
      <c r="A9" s="28"/>
      <c r="B9" s="28"/>
      <c r="C9" s="28"/>
      <c r="D9" s="28"/>
      <c r="E9" s="28"/>
      <c r="F9" s="28"/>
      <c r="G9" s="28"/>
    </row>
    <row r="10" spans="1:7" ht="57.95" customHeight="1">
      <c r="A10" s="29" t="s">
        <v>253</v>
      </c>
      <c r="B10" s="29" t="s">
        <v>254</v>
      </c>
      <c r="C10" s="29" t="s">
        <v>255</v>
      </c>
      <c r="D10" s="29" t="s">
        <v>256</v>
      </c>
      <c r="E10" s="29" t="s">
        <v>257</v>
      </c>
      <c r="F10" s="27" t="s">
        <v>258</v>
      </c>
      <c r="G10" s="27" t="s">
        <v>259</v>
      </c>
    </row>
    <row r="11" spans="1:7">
      <c r="A11" s="28"/>
      <c r="B11" s="28"/>
      <c r="C11" s="28"/>
      <c r="D11" s="28"/>
      <c r="E11" s="28"/>
      <c r="F11" s="28"/>
      <c r="G11" s="28"/>
    </row>
    <row r="12" spans="1:7" ht="57.95" customHeight="1">
      <c r="A12" s="29" t="s">
        <v>260</v>
      </c>
      <c r="B12" s="29" t="s">
        <v>261</v>
      </c>
      <c r="C12" s="29" t="s">
        <v>262</v>
      </c>
      <c r="D12" s="29" t="s">
        <v>263</v>
      </c>
      <c r="E12" s="29" t="s">
        <v>264</v>
      </c>
      <c r="F12" s="27" t="s">
        <v>265</v>
      </c>
      <c r="G12" s="27" t="s">
        <v>266</v>
      </c>
    </row>
    <row r="13" spans="1:7">
      <c r="A13" s="28"/>
      <c r="B13" s="28"/>
      <c r="C13" s="28"/>
      <c r="D13" s="28"/>
      <c r="E13" s="28"/>
      <c r="F13" s="28"/>
      <c r="G13" s="28"/>
    </row>
  </sheetData>
  <mergeCells count="36">
    <mergeCell ref="A1:G1"/>
    <mergeCell ref="A4:A5"/>
    <mergeCell ref="B4:B5"/>
    <mergeCell ref="C4:C5"/>
    <mergeCell ref="D4:D5"/>
    <mergeCell ref="E4:E5"/>
    <mergeCell ref="F4:F5"/>
    <mergeCell ref="G4:G5"/>
    <mergeCell ref="F6:F7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10:F11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Contacts_Events</vt:lpstr>
      <vt:lpstr>Weekly_Plan</vt:lpstr>
      <vt:lpstr>Plan_90D</vt:lpstr>
      <vt:lpstr>Apr_2026</vt:lpstr>
      <vt:lpstr>May_2026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Maxwell</dc:creator>
  <cp:lastModifiedBy>Meghan Maxwell</cp:lastModifiedBy>
  <cp:lastPrinted>2026-04-17T16:52:59Z</cp:lastPrinted>
  <dcterms:created xsi:type="dcterms:W3CDTF">2026-04-17T15:06:08Z</dcterms:created>
  <dcterms:modified xsi:type="dcterms:W3CDTF">2026-04-17T16:53:08Z</dcterms:modified>
</cp:coreProperties>
</file>