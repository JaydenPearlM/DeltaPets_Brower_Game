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xwe\Desktop\Delta_Alpha_BOND_NEW\"/>
    </mc:Choice>
  </mc:AlternateContent>
  <xr:revisionPtr revIDLastSave="0" documentId="8_{F31FD664-F520-4B8A-B773-CD1CC42E31D3}" xr6:coauthVersionLast="47" xr6:coauthVersionMax="47" xr10:uidLastSave="{00000000-0000-0000-0000-000000000000}"/>
  <bookViews>
    <workbookView xWindow="5835" yWindow="1815" windowWidth="41505" windowHeight="18405" xr2:uid="{00000000-000D-0000-FFFF-FFFF00000000}"/>
  </bookViews>
  <sheets>
    <sheet name="Full Use Test" sheetId="1" r:id="rId1"/>
    <sheet name="Dashboard" sheetId="2" r:id="rId2"/>
    <sheet name="Bug Log" sheetId="3" r:id="rId3"/>
    <sheet name="Tester Guide" sheetId="4" r:id="rId4"/>
    <sheet name="_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F13" i="2"/>
  <c r="E13" i="2"/>
  <c r="B13" i="2"/>
  <c r="G12" i="2"/>
  <c r="F12" i="2"/>
  <c r="E12" i="2"/>
  <c r="B12" i="2"/>
  <c r="G11" i="2"/>
  <c r="F11" i="2"/>
  <c r="E11" i="2"/>
  <c r="B11" i="2"/>
  <c r="G10" i="2"/>
  <c r="F10" i="2"/>
  <c r="E10" i="2"/>
  <c r="G9" i="2"/>
  <c r="F9" i="2"/>
  <c r="E9" i="2"/>
  <c r="G8" i="2"/>
  <c r="F8" i="2"/>
  <c r="E8" i="2"/>
  <c r="B8" i="2"/>
  <c r="G7" i="2"/>
  <c r="F7" i="2"/>
  <c r="E7" i="2"/>
  <c r="B7" i="2"/>
  <c r="G6" i="2"/>
  <c r="F6" i="2"/>
  <c r="E6" i="2"/>
  <c r="B6" i="2"/>
  <c r="G5" i="2"/>
  <c r="F5" i="2"/>
  <c r="E5" i="2"/>
  <c r="B5" i="2"/>
  <c r="G4" i="2"/>
  <c r="F4" i="2"/>
  <c r="E4" i="2"/>
  <c r="B4" i="2"/>
</calcChain>
</file>

<file path=xl/sharedStrings.xml><?xml version="1.0" encoding="utf-8"?>
<sst xmlns="http://schemas.openxmlformats.org/spreadsheetml/2006/main" count="1036" uniqueCount="444">
  <si>
    <t>ID</t>
  </si>
  <si>
    <t>Section</t>
  </si>
  <si>
    <t>Area</t>
  </si>
  <si>
    <t>Test Case</t>
  </si>
  <si>
    <t>Priority</t>
  </si>
  <si>
    <t>Device</t>
  </si>
  <si>
    <t>Precondition</t>
  </si>
  <si>
    <t>Steps</t>
  </si>
  <si>
    <t>Expected Result</t>
  </si>
  <si>
    <t>Status</t>
  </si>
  <si>
    <t>Bug ID</t>
  </si>
  <si>
    <t>Tester Notes</t>
  </si>
  <si>
    <t>Test Data</t>
  </si>
  <si>
    <t>01 - New Player Journey</t>
  </si>
  <si>
    <t>Home Page</t>
  </si>
  <si>
    <t>Public home page loads</t>
  </si>
  <si>
    <t>Critical</t>
  </si>
  <si>
    <t>Desktop + Mobile</t>
  </si>
  <si>
    <t>Signed out / private window</t>
  </si>
  <si>
    <t>1. Open the production DeltaPets URL.
2. Allow the page to fully load.
3. Scroll through the page.</t>
  </si>
  <si>
    <t>Homepage renders without a blank screen, broken layout, uncaught error, or forced authenticated-only UI.</t>
  </si>
  <si>
    <t>Not Run</t>
  </si>
  <si>
    <t>Fresh test account</t>
  </si>
  <si>
    <t>Signed-out navigation is correct</t>
  </si>
  <si>
    <t>Signed out</t>
  </si>
  <si>
    <t>1. Review the header/navigation.
2. Click any public navigation items.
3. Return to Home.</t>
  </si>
  <si>
    <t>Public links work. Authenticated-only actions do not incorrectly expose private game screens.</t>
  </si>
  <si>
    <t>Sign Up</t>
  </si>
  <si>
    <t>Open sign-up flow</t>
  </si>
  <si>
    <t>1. Click Sign Up / Create Account.</t>
  </si>
  <si>
    <t>Sign-up form opens and all required fields are visible and usable.</t>
  </si>
  <si>
    <t>Required-field validation</t>
  </si>
  <si>
    <t>High</t>
  </si>
  <si>
    <t>Sign-up form open</t>
  </si>
  <si>
    <t>1. Submit the form with required fields empty.
2. Try obviously invalid values where applicable.</t>
  </si>
  <si>
    <t>Form prevents invalid submission and shows understandable validation without crashing.</t>
  </si>
  <si>
    <t>Create new account</t>
  </si>
  <si>
    <t>Unique email address available</t>
  </si>
  <si>
    <t>1. Enter a new email, password, and requested profile information.
2. Submit once.</t>
  </si>
  <si>
    <t>Exactly one account is created. User is told to verify/activate the account; duplicate submissions do not create duplicate game state.</t>
  </si>
  <si>
    <t>Email Verification</t>
  </si>
  <si>
    <t>Activation email arrives</t>
  </si>
  <si>
    <t>New account submitted</t>
  </si>
  <si>
    <t>1. Open the test inbox.
2. Find the DeltaPets verification email.
3. Verify sender, subject, and activation link.</t>
  </si>
  <si>
    <t>Verification email arrives and contains a usable activation link.</t>
  </si>
  <si>
    <t>Real inbox</t>
  </si>
  <si>
    <t>Activation link returns cleanly to game</t>
  </si>
  <si>
    <t>Verification email received</t>
  </si>
  <si>
    <t>1. Click the activation link.
2. Observe landing page and address bar.
3. Do not refresh manually at first.</t>
  </si>
  <si>
    <t>Activation succeeds and returns to DeltaPets in a stable authenticated/ready state; no stale blocked Explore state persists for an extended period.</t>
  </si>
  <si>
    <t>Authentication</t>
  </si>
  <si>
    <t>First login/auth session resolves</t>
  </si>
  <si>
    <t>Verified account</t>
  </si>
  <si>
    <t>1. If prompted, sign in.
2. Wait for the auth UI to resolve.
3. Observe header and Home controls.</t>
  </si>
  <si>
    <t>Logged-in UI resolves promptly and consistently; signed-out controls do not linger after authentication.</t>
  </si>
  <si>
    <t>Introduction</t>
  </si>
  <si>
    <t>Intro gating begins</t>
  </si>
  <si>
    <t>Brand-new verified account</t>
  </si>
  <si>
    <t>1. Follow the first-time player flow.
2. Attempt to use Explore before finishing the introduction.</t>
  </si>
  <si>
    <t>First-time introduction is enforced. The player cannot freely roam/explore before completing the starter hatch flow.</t>
  </si>
  <si>
    <t>Starter Egg</t>
  </si>
  <si>
    <t>Exactly one Prismatic Egg exists</t>
  </si>
  <si>
    <t>Brand-new account in intro</t>
  </si>
  <si>
    <t>1. Open the starter egg/hatchery portion of the intro.
2. Count starter eggs.
3. Refresh once and re-check.</t>
  </si>
  <si>
    <t>Exactly one Prismatic Egg exists for the account. Refresh does not create another.</t>
  </si>
  <si>
    <t>Prismatic Egg timer runs</t>
  </si>
  <si>
    <t>Starter egg exists</t>
  </si>
  <si>
    <t>1. Note timer value.
2. Wait long enough to observe it change.
3. Refresh the page.</t>
  </si>
  <si>
    <t>Timer counts down correctly and persists across refresh instead of restarting.</t>
  </si>
  <si>
    <t>Starter cannot hatch too early</t>
  </si>
  <si>
    <t>Starter timer still running</t>
  </si>
  <si>
    <t>1. Attempt to hatch before timer completion if the UI permits interaction.</t>
  </si>
  <si>
    <t>Early hatch is prevented or the hatch action remains unavailable.</t>
  </si>
  <si>
    <t>Starter Hatch</t>
  </si>
  <si>
    <t>Hatch starter once</t>
  </si>
  <si>
    <t>Starter timer complete</t>
  </si>
  <si>
    <t>1. Click Hatch once.
2. Observe the resulting pet and navigation.</t>
  </si>
  <si>
    <t>One starter pet is created from the Prismatic Egg. Egg is consumed once. No duplicate pet appears.</t>
  </si>
  <si>
    <t>Starter appears in Main Team</t>
  </si>
  <si>
    <t>Starter has hatched</t>
  </si>
  <si>
    <t>1. Open the pet/team view.
2. Inspect team slot 1.</t>
  </si>
  <si>
    <t>Starter is present in the Main Team and is usable as the player's active/current pet.</t>
  </si>
  <si>
    <t>Intro unlocks after hatch</t>
  </si>
  <si>
    <t>Starter hatched and sent to pet flow</t>
  </si>
  <si>
    <t>1. Return to Home.
2. Check Explore.
3. Click Explore.</t>
  </si>
  <si>
    <t>Explore is now unblocked and behaves like the normal logged-in game.</t>
  </si>
  <si>
    <t>Pet Page</t>
  </si>
  <si>
    <t>Pet page renders starter</t>
  </si>
  <si>
    <t>Starter hatched</t>
  </si>
  <si>
    <t>1. Open /pet using normal navigation.
2. Review pet name, stage, stats, care values, and actions.</t>
  </si>
  <si>
    <t>Active starter displays correctly; page has no 'No active pet found' error for a valid team pet.</t>
  </si>
  <si>
    <t>Profile</t>
  </si>
  <si>
    <t>Profile/home dashboard reflects player</t>
  </si>
  <si>
    <t>1. Open Profile/Home dashboard.
2. Verify player and active pet/team information.</t>
  </si>
  <si>
    <t>Profile reflects the authenticated account and current pet/team state.</t>
  </si>
  <si>
    <t>02 - Eggs &amp; Hatchery</t>
  </si>
  <si>
    <t>Kithna Egg</t>
  </si>
  <si>
    <t>Second pet: find an egg</t>
  </si>
  <si>
    <t>Main Team currently has 1 pet(s)</t>
  </si>
  <si>
    <t>1. Navigate through the Kithna egg-finding gameplay.
2. Continue until an egg is legitimately found.
3. Accept/collect the egg.</t>
  </si>
  <si>
    <t>Found egg is awarded once and appears in the correct egg/storage UI; no duplicate reward occurs.</t>
  </si>
  <si>
    <t>Storage</t>
  </si>
  <si>
    <t>Second pet: egg appears in Storage</t>
  </si>
  <si>
    <t>Egg just found</t>
  </si>
  <si>
    <t>1. Open Storage/Hatchery.
2. Locate the new egg.
3. Select it.</t>
  </si>
  <si>
    <t>The newly found egg appears once in Storage and can be selected.</t>
  </si>
  <si>
    <t>Selected Egg</t>
  </si>
  <si>
    <t>Second pet: selected egg details</t>
  </si>
  <si>
    <t>Egg selected</t>
  </si>
  <si>
    <t>1. Review egg name, rarity/timer/stats shown by the UI.
2. Refresh and select again.</t>
  </si>
  <si>
    <t>Selected Egg shows stable details and the same egg remains selected/available after refresh where intended.</t>
  </si>
  <si>
    <t>Hatching</t>
  </si>
  <si>
    <t>Second pet: hatch egg</t>
  </si>
  <si>
    <t>Egg timer complete</t>
  </si>
  <si>
    <t>1. Hatch the selected egg once.
2. Open Main Team.</t>
  </si>
  <si>
    <t>One hatchling is created and placed into Main Team slot 2. Existing pets are not replaced or deleted.</t>
  </si>
  <si>
    <t>Third pet: find an egg</t>
  </si>
  <si>
    <t>Main Team currently has 2 pet(s)</t>
  </si>
  <si>
    <t>Third pet: egg appears in Storage</t>
  </si>
  <si>
    <t>Third pet: selected egg details</t>
  </si>
  <si>
    <t>Third pet: hatch egg</t>
  </si>
  <si>
    <t>One hatchling is created and placed into Main Team slot 3. Existing pets are not replaced or deleted.</t>
  </si>
  <si>
    <t>Fourth pet: find an egg</t>
  </si>
  <si>
    <t>Main Team currently has 3 pet(s)</t>
  </si>
  <si>
    <t>Fourth pet: egg appears in Storage</t>
  </si>
  <si>
    <t>Fourth pet: selected egg details</t>
  </si>
  <si>
    <t>Fourth pet: hatch egg</t>
  </si>
  <si>
    <t>One hatchling is created and placed into Main Team slot 4. Existing pets are not replaced or deleted.</t>
  </si>
  <si>
    <t>Full Party</t>
  </si>
  <si>
    <t>Fifth hatch goes to Storage</t>
  </si>
  <si>
    <t>Main Team has 4 pets</t>
  </si>
  <si>
    <t>1. Find another egg.
2. Incubate/wait until ready.
3. Hatch it.
4. Inspect Main Team and Storage.</t>
  </si>
  <si>
    <t>Existing 4 Main Team pets remain untouched. New hatchling returns/goes to Storage instead of replacing or deleting a team pet.</t>
  </si>
  <si>
    <t>Double-click / repeat hatch protection</t>
  </si>
  <si>
    <t>Any egg ready to hatch</t>
  </si>
  <si>
    <t>1. Rapidly click/tap Hatch more than once.
2. Refresh afterward.
3. Count resulting pets.</t>
  </si>
  <si>
    <t>Only one pet is created and the egg is consumed exactly once.</t>
  </si>
  <si>
    <t>Timers</t>
  </si>
  <si>
    <t>Egg timer survives logout/login</t>
  </si>
  <si>
    <t>Incubating egg exists</t>
  </si>
  <si>
    <t>1. Note remaining timer.
2. Sign out.
3. Wait briefly.
4. Sign back in and open the egg.</t>
  </si>
  <si>
    <t>Timer reflects elapsed real time and does not reset on re-login.</t>
  </si>
  <si>
    <t>Egg/pet storage survives refresh</t>
  </si>
  <si>
    <t>At least one stored egg or pet</t>
  </si>
  <si>
    <t>1. Note contents and order/selection.
2. Hard refresh.
3. Re-open Storage.</t>
  </si>
  <si>
    <t>Stored items remain present and no item is duplicated or lost.</t>
  </si>
  <si>
    <t>03 - Team, Pet &amp; Care</t>
  </si>
  <si>
    <t>Party</t>
  </si>
  <si>
    <t>Reorder party slots</t>
  </si>
  <si>
    <t>Main Team has 2-4 pets</t>
  </si>
  <si>
    <t>1. Move/swap pets between available team slots.
2. Try multiple slot combinations.</t>
  </si>
  <si>
    <t>Pets swap/move correctly. No duplicate pet occupies two slots. No pet is lost.</t>
  </si>
  <si>
    <t>Block same-slot move</t>
  </si>
  <si>
    <t>Main Team has multiple pets</t>
  </si>
  <si>
    <t>1. Choose a pet.
2. Attempt to move it into its current slot.</t>
  </si>
  <si>
    <t>Same-slot action is blocked or safely does nothing without corrupting team data.</t>
  </si>
  <si>
    <t>Move pet from team to Storage</t>
  </si>
  <si>
    <t>Main Team has at least 2 pets</t>
  </si>
  <si>
    <t>1. Select a non-final team pet.
2. Move it to Storage.
3. Inspect both areas.</t>
  </si>
  <si>
    <t>Pet leaves its team slot and appears once in Storage.</t>
  </si>
  <si>
    <t>Move stored pet back to team</t>
  </si>
  <si>
    <t>At least one stored pet and an available/replacement slot</t>
  </si>
  <si>
    <t>1. Select stored pet.
2. Put/swap it into a Main Team slot.</t>
  </si>
  <si>
    <t>Stored pet moves to requested slot and team/storage contents remain consistent.</t>
  </si>
  <si>
    <t>Cannot remove final party pet</t>
  </si>
  <si>
    <t>Only one pet remains in Main Team</t>
  </si>
  <si>
    <t>1. Attempt to move the final team pet to Storage.</t>
  </si>
  <si>
    <t>Game prevents leaving the player with zero Main Team pets.</t>
  </si>
  <si>
    <t>Active Pet</t>
  </si>
  <si>
    <t>Active/viewed pet remains valid after swaps</t>
  </si>
  <si>
    <t>Multiple pets available</t>
  </si>
  <si>
    <t>1. Change/swap team pets.
2. Open /pet.
3. Navigate away and back.</t>
  </si>
  <si>
    <t>Active/viewed pet resolves to a valid team pet and does not point to a missing/deleted record.</t>
  </si>
  <si>
    <t>Care</t>
  </si>
  <si>
    <t>Feed action</t>
  </si>
  <si>
    <t>Active pet and required care resource/action available</t>
  </si>
  <si>
    <t>1. Note hunger and relevant inventory count.
2. Feed once.
3. Refresh.</t>
  </si>
  <si>
    <t>Hunger changes appropriately, resource use is applied once, and updated state persists.</t>
  </si>
  <si>
    <t>Clean action</t>
  </si>
  <si>
    <t>Active pet and cleaning action available</t>
  </si>
  <si>
    <t>1. Note cleanliness and relevant resource count.
2. Clean once.
3. Refresh.</t>
  </si>
  <si>
    <t>Cleanliness changes appropriately, resource use is applied once, and state persists.</t>
  </si>
  <si>
    <t>Play action</t>
  </si>
  <si>
    <t>Active pet and play action available</t>
  </si>
  <si>
    <t>1. Note happiness and relevant resource count.
2. Play once.
3. Refresh.</t>
  </si>
  <si>
    <t>Happiness changes appropriately, resource use is applied once, and state persists.</t>
  </si>
  <si>
    <t>Comfort action</t>
  </si>
  <si>
    <t>Active pet and comfort action available</t>
  </si>
  <si>
    <t>1. Note comfort and relevant resource count.
2. Comfort once.
3. Refresh.</t>
  </si>
  <si>
    <t>Comfort changes appropriately, resource use is applied once, and state persists.</t>
  </si>
  <si>
    <t>Pet Identity</t>
  </si>
  <si>
    <t>Nickname save persists</t>
  </si>
  <si>
    <t>Medium</t>
  </si>
  <si>
    <t>Pet nickname editor available</t>
  </si>
  <si>
    <t>1. Rename a pet using a valid nickname.
2. Save.
3. Refresh and re-login.</t>
  </si>
  <si>
    <t>Nickname is saved once and remains visible after refresh/login.</t>
  </si>
  <si>
    <t>Skill Trees</t>
  </si>
  <si>
    <t>Open and close talent/skill tree</t>
  </si>
  <si>
    <t>Pet skill tree button available</t>
  </si>
  <si>
    <t>1. Open skill tree.
2. Scroll through every path.
3. Read skill names/descriptions.
4. Close it.</t>
  </si>
  <si>
    <t>Popup remains on-screen, content is readable/scrollable, and Close returns to the pet page without state loss.</t>
  </si>
  <si>
    <t>Save talent build</t>
  </si>
  <si>
    <t>Talent points/build available</t>
  </si>
  <si>
    <t>1. Make a valid talent selection.
2. Save.
3. Close/reopen.
4. Refresh.</t>
  </si>
  <si>
    <t>Saved talent selection persists and does not alter unrelated pet/team data.</t>
  </si>
  <si>
    <t>Reset talent build</t>
  </si>
  <si>
    <t>Saved talent build exists</t>
  </si>
  <si>
    <t>1. Use Reset.
2. Confirm resulting local/UI state.
3. Save if required by the flow.</t>
  </si>
  <si>
    <t>Reset affects only the intended talent build and leaves other pet data unchanged.</t>
  </si>
  <si>
    <t>04 - Inventory &amp; Economy</t>
  </si>
  <si>
    <t>Inventory</t>
  </si>
  <si>
    <t>Inventory opens and loads</t>
  </si>
  <si>
    <t>Authenticated player</t>
  </si>
  <si>
    <t>1. Open Inventory.
2. Wait for items/wallet to load.
3. Refresh.</t>
  </si>
  <si>
    <t>Inventory and wallet render without errors and remain consistent after refresh.</t>
  </si>
  <si>
    <t>Wallet</t>
  </si>
  <si>
    <t>Wallet balance persists</t>
  </si>
  <si>
    <t>Known wallet balance</t>
  </si>
  <si>
    <t>1. Note Dots.
2. Refresh.
3. Sign out and back in.
4. Compare.</t>
  </si>
  <si>
    <t>Dots balance remains correct across refresh and authentication cycles.</t>
  </si>
  <si>
    <t>Closed Alpha Gift</t>
  </si>
  <si>
    <t>Care package appears once for eligible tester</t>
  </si>
  <si>
    <t>Eligible closed-alpha tester with package granted</t>
  </si>
  <si>
    <t>1. Hard refresh.
2. Sign out/in.
3. Open Inventory.
4. Observe gift/popup.</t>
  </si>
  <si>
    <t>Eligible tester sees the thank-you gift flow/package once; ineligible accounts do not receive it.</t>
  </si>
  <si>
    <t>Eligible tester + normal account</t>
  </si>
  <si>
    <t>Open care package once</t>
  </si>
  <si>
    <t>Care package visible in Inventory</t>
  </si>
  <si>
    <t>1. Click/tap the package once to arm/select if required.
2. Click/tap again to open.
3. Observe inventory and wallet.
4. Refresh.</t>
  </si>
  <si>
    <t>Package disappears after one successful open; rewards are granted exactly once and remain after refresh.</t>
  </si>
  <si>
    <t>Eligible tester</t>
  </si>
  <si>
    <t>Care package cannot be reopened</t>
  </si>
  <si>
    <t>Package already opened</t>
  </si>
  <si>
    <t>1. Refresh Inventory.
2. Re-login.
3. Try to find/open the same package again.</t>
  </si>
  <si>
    <t>Package is not restored and rewards cannot be claimed a second time.</t>
  </si>
  <si>
    <t>05 - Exploration &amp; Kithna</t>
  </si>
  <si>
    <t>Explore</t>
  </si>
  <si>
    <t>Explore works after intro</t>
  </si>
  <si>
    <t>Starter intro complete</t>
  </si>
  <si>
    <t>1. From Home, click Explore.
2. Navigate into available world/city content.</t>
  </si>
  <si>
    <t>Explore is enabled and routes into the game normally.</t>
  </si>
  <si>
    <t>Kithna</t>
  </si>
  <si>
    <t>Kithna city page loads</t>
  </si>
  <si>
    <t>Authenticated with intro complete</t>
  </si>
  <si>
    <t>1. Navigate to Kithna.
2. Review visible city destinations/actions.
3. Return and re-enter.</t>
  </si>
  <si>
    <t>Kithna loads consistently without blank screens or route errors.</t>
  </si>
  <si>
    <t>Egg Encounter</t>
  </si>
  <si>
    <t>Egg encounter award is not duplicated</t>
  </si>
  <si>
    <t>Kithna egg encounter triggered</t>
  </si>
  <si>
    <t>1. Complete/accept one egg encounter.
2. Refresh immediately.
3. Inspect Storage.</t>
  </si>
  <si>
    <t>Encounter awards one egg only; refresh does not replay the same award.</t>
  </si>
  <si>
    <t>Navigation</t>
  </si>
  <si>
    <t>Back/forward navigation does not break auth/game state</t>
  </si>
  <si>
    <t>Authenticated in game</t>
  </si>
  <si>
    <t>1. Navigate Home → Explore → Kithna → Pet.
2. Use browser Back/Forward repeatedly.</t>
  </si>
  <si>
    <t>Routes render correctly and auth/player state is not reset or duplicated.</t>
  </si>
  <si>
    <t>06 - Persistence</t>
  </si>
  <si>
    <t>Refresh persistence: party slot membership/order</t>
  </si>
  <si>
    <t>Relevant state exists</t>
  </si>
  <si>
    <t>1. Record current party slot membership/order.
2. Hard refresh the page.
3. Navigate back to the relevant screen.</t>
  </si>
  <si>
    <t>Party slot membership/order remains correct after refresh.</t>
  </si>
  <si>
    <t>Refresh persistence: stored pets</t>
  </si>
  <si>
    <t>1. Record current stored pets.
2. Hard refresh the page.
3. Navigate back to the relevant screen.</t>
  </si>
  <si>
    <t>Stored pets remains correct after refresh.</t>
  </si>
  <si>
    <t>Eggs</t>
  </si>
  <si>
    <t>Refresh persistence: stored/incubating eggs</t>
  </si>
  <si>
    <t>1. Record current stored/incubating eggs.
2. Hard refresh the page.
3. Navigate back to the relevant screen.</t>
  </si>
  <si>
    <t>Stored/incubating eggs remains correct after refresh.</t>
  </si>
  <si>
    <t>Refresh persistence: egg timers</t>
  </si>
  <si>
    <t>1. Record current egg timers.
2. Hard refresh the page.
3. Navigate back to the relevant screen.</t>
  </si>
  <si>
    <t>Egg timers remains correct after refresh.</t>
  </si>
  <si>
    <t>Pet Stats</t>
  </si>
  <si>
    <t>Refresh persistence: pet stats</t>
  </si>
  <si>
    <t>1. Record current pet stats.
2. Hard refresh the page.
3. Navigate back to the relevant screen.</t>
  </si>
  <si>
    <t>Pet stats remains correct after refresh.</t>
  </si>
  <si>
    <t>Refresh persistence: Dots balance</t>
  </si>
  <si>
    <t>1. Record current Dots balance.
2. Hard refresh the page.
3. Navigate back to the relevant screen.</t>
  </si>
  <si>
    <t>Dots balance remains correct after refresh.</t>
  </si>
  <si>
    <t>Refresh persistence: active/viewed pet</t>
  </si>
  <si>
    <t>1. Record current active/viewed pet.
2. Hard refresh the page.
3. Navigate back to the relevant screen.</t>
  </si>
  <si>
    <t>Active/viewed pet remains correct after refresh.</t>
  </si>
  <si>
    <t>Logout/login persistence: party slot membership/order</t>
  </si>
  <si>
    <t>1. Record current party slot membership/order.
2. Sign out.
3. Sign back in.
4. Navigate to the relevant screen.</t>
  </si>
  <si>
    <t>Party slot membership/order remains correct after logout/login.</t>
  </si>
  <si>
    <t>Logout/login persistence: stored pets</t>
  </si>
  <si>
    <t>1. Record current stored pets.
2. Sign out.
3. Sign back in.
4. Navigate to the relevant screen.</t>
  </si>
  <si>
    <t>Stored pets remains correct after logout/login.</t>
  </si>
  <si>
    <t>Logout/login persistence: stored/incubating eggs</t>
  </si>
  <si>
    <t>1. Record current stored/incubating eggs.
2. Sign out.
3. Sign back in.
4. Navigate to the relevant screen.</t>
  </si>
  <si>
    <t>Stored/incubating eggs remains correct after logout/login.</t>
  </si>
  <si>
    <t>Logout/login persistence: egg timers</t>
  </si>
  <si>
    <t>1. Record current egg timers.
2. Sign out.
3. Sign back in.
4. Navigate to the relevant screen.</t>
  </si>
  <si>
    <t>Egg timers remains correct after logout/login.</t>
  </si>
  <si>
    <t>Logout/login persistence: pet stats</t>
  </si>
  <si>
    <t>1. Record current pet stats.
2. Sign out.
3. Sign back in.
4. Navigate to the relevant screen.</t>
  </si>
  <si>
    <t>Pet stats remains correct after logout/login.</t>
  </si>
  <si>
    <t>Logout/login persistence: Dots balance</t>
  </si>
  <si>
    <t>1. Record current Dots balance.
2. Sign out.
3. Sign back in.
4. Navigate to the relevant screen.</t>
  </si>
  <si>
    <t>Dots balance remains correct after logout/login.</t>
  </si>
  <si>
    <t>Logout/login persistence: active/viewed pet</t>
  </si>
  <si>
    <t>1. Record current active/viewed pet.
2. Sign out.
3. Sign back in.
4. Navigate to the relevant screen.</t>
  </si>
  <si>
    <t>Active/viewed pet remains correct after logout/login.</t>
  </si>
  <si>
    <t>07 - Runaway &amp; Recovery</t>
  </si>
  <si>
    <t>Runaway</t>
  </si>
  <si>
    <t>Trigger appropriate runaway state</t>
  </si>
  <si>
    <t>Desktop</t>
  </si>
  <si>
    <t>Test account/pet can be put into runaway state safely</t>
  </si>
  <si>
    <t>1. Trigger the game's intended runaway condition using the test method.
2. Re-open /pet and team.</t>
  </si>
  <si>
    <t>Runaway state activates without corrupting unrelated pets or account data.</t>
  </si>
  <si>
    <t>Dedicated test account</t>
  </si>
  <si>
    <t>Runaway pet clears team slot</t>
  </si>
  <si>
    <t>Pet is runaway</t>
  </si>
  <si>
    <t>1. Inspect Main Team.</t>
  </si>
  <si>
    <t>Runaway pet no longer occupies its normal party slot.</t>
  </si>
  <si>
    <t>Runaway pet hidden from normal Storage</t>
  </si>
  <si>
    <t>1. Open normal pet Storage.</t>
  </si>
  <si>
    <t>Runaway pet is not incorrectly available as a normal stored pet.</t>
  </si>
  <si>
    <t>Lost Kith Registry</t>
  </si>
  <si>
    <t>Eligible runaway pet appears</t>
  </si>
  <si>
    <t>Pet is runaway and recoverable</t>
  </si>
  <si>
    <t>1. Open Lost Kith Registry.
2. Locate the runaway pet.</t>
  </si>
  <si>
    <t>Eligible runaway pet is shown with the intended recovery state/window.</t>
  </si>
  <si>
    <t>Recover runaway pet</t>
  </si>
  <si>
    <t>Recoverable runaway pet and enough Dots</t>
  </si>
  <si>
    <t>1. Note wallet balance.
2. Recover/buy back the pet.
3. Inspect Storage and wallet.</t>
  </si>
  <si>
    <t>Correct Dots are charged once and recovered pet returns to Storage in valid state.</t>
  </si>
  <si>
    <t>Recovery survives refresh</t>
  </si>
  <si>
    <t>Pet recovered</t>
  </si>
  <si>
    <t>1. Refresh.
2. Sign out/in.
3. Check Registry, Storage, and wallet.</t>
  </si>
  <si>
    <t>Recovered pet remains recovered, does not duplicate, and charged wallet balance remains correct.</t>
  </si>
  <si>
    <t>08 - Auth &amp; Resilience</t>
  </si>
  <si>
    <t>Normal logout</t>
  </si>
  <si>
    <t>Authenticated</t>
  </si>
  <si>
    <t>1. Click Sign Out.
2. Attempt to revisit an authenticated route.</t>
  </si>
  <si>
    <t>Session is cleared. Private routes do not remain usable as the signed-out user.</t>
  </si>
  <si>
    <t>Normal re-login lands in stable state</t>
  </si>
  <si>
    <t>Existing completed-intro account</t>
  </si>
  <si>
    <t>1. Sign in normally.
2. Observe landing state/navigation.
3. Open Home and /pet.</t>
  </si>
  <si>
    <t>Existing player returns to normal logged-in game state; first-time intro is not incorrectly restarted.</t>
  </si>
  <si>
    <t>Expired access token handling</t>
  </si>
  <si>
    <t>Test method available to expire/clear access token</t>
  </si>
  <si>
    <t>1. Create an expired/invalid session using the approved test method.
2. Make an authenticated request or reload a private page.</t>
  </si>
  <si>
    <t>App recovers by refreshing/re-authenticating or cleanly returning to login. No infinite refresh/request loop.</t>
  </si>
  <si>
    <t>Dedicated auth test account</t>
  </si>
  <si>
    <t>Concurrent requests do not create refresh loop</t>
  </si>
  <si>
    <t>1. Open a data-heavy page.
2. Trigger several normal page requests close together.
3. Watch UI/network.</t>
  </si>
  <si>
    <t>Requests settle normally. Auth refresh is coordinated; there is no repeated 401/refresh storm or forced logout.</t>
  </si>
  <si>
    <t>Protected route direct load</t>
  </si>
  <si>
    <t>1. Paste a known authenticated game route directly into a private window.</t>
  </si>
  <si>
    <t>App redirects/blocks access safely without a blank screen.</t>
  </si>
  <si>
    <t>Activation-link regression check</t>
  </si>
  <si>
    <t>Fresh account</t>
  </si>
  <si>
    <t>1. Activate from email.
2. Immediately inspect Home/Explore/auth controls.
3. Time how long stale UI remains, if any.</t>
  </si>
  <si>
    <t>No ~30-second stale signed-in state with incorrectly blocked Explore after activation.</t>
  </si>
  <si>
    <t>Fresh unique email</t>
  </si>
  <si>
    <t>09 - Mobile Acceptance</t>
  </si>
  <si>
    <t>Core Journey</t>
  </si>
  <si>
    <t>Pixel 10: new player flow</t>
  </si>
  <si>
    <t>Pixel 10</t>
  </si>
  <si>
    <t>Fresh account or clean test state on device</t>
  </si>
  <si>
    <t>1. Home.
2. Sign up/login.
3. Complete intro/starter hatch.
4. Open Pet, Profile, Explore, Hatchery, Storage, Inventory.</t>
  </si>
  <si>
    <t>Core journey is usable without horizontal page overflow, clipped critical buttons, or inaccessible content.</t>
  </si>
  <si>
    <t>Popups</t>
  </si>
  <si>
    <t>Pixel 10: popups stay inside viewport</t>
  </si>
  <si>
    <t>Authenticated on device</t>
  </si>
  <si>
    <t>1. Open every major popup available during test, especially skill/talent and egg/inventory dialogs.
2. Scroll popup content.</t>
  </si>
  <si>
    <t>Popup top/bottom stay reachable; close/save buttons are visible or reachable; internal scroll preserves content.</t>
  </si>
  <si>
    <t>Touch</t>
  </si>
  <si>
    <t>Pixel 10: touch actions do not double-trigger</t>
  </si>
  <si>
    <t>1. Test Hatch, care actions, inventory package, team/storage moves, save/close buttons.</t>
  </si>
  <si>
    <t>Single taps create one action; no accidental duplicate hatch/reward/move occurs.</t>
  </si>
  <si>
    <t>Galaxy S22: new player flow</t>
  </si>
  <si>
    <t>Galaxy S22</t>
  </si>
  <si>
    <t>Galaxy S22: popups stay inside viewport</t>
  </si>
  <si>
    <t>Galaxy S22: touch actions do not double-trigger</t>
  </si>
  <si>
    <t>Galaxy S22 Ultra: new player flow</t>
  </si>
  <si>
    <t>Galaxy S22 Ultra</t>
  </si>
  <si>
    <t>Galaxy S22 Ultra: popups stay inside viewport</t>
  </si>
  <si>
    <t>Galaxy S22 Ultra: touch actions do not double-trigger</t>
  </si>
  <si>
    <t>10 - Production Safety</t>
  </si>
  <si>
    <t>Production</t>
  </si>
  <si>
    <t>Development-only endpoints unavailable</t>
  </si>
  <si>
    <t>Production deployment</t>
  </si>
  <si>
    <t>1. Attempt known development/debug routes only if documented for QA.
2. Inspect normal app for debug controls.</t>
  </si>
  <si>
    <t>Development-only endpoints/tools are unavailable to ordinary production testers.</t>
  </si>
  <si>
    <t>No secrets exposed to browser</t>
  </si>
  <si>
    <t>1. Inspect public page source/network/environment values visible to the browser.
2. Do not attempt intrusive scanning.</t>
  </si>
  <si>
    <t>No server/service-role secret or private credential is exposed client-side.</t>
  </si>
  <si>
    <t>Alpha configuration is explicit</t>
  </si>
  <si>
    <t>Production/closed-alpha deployment</t>
  </si>
  <si>
    <t>1. Sign in as an approved tester and as a non-test account where appropriate.
2. Compare alpha-only behaviors.</t>
  </si>
  <si>
    <t>Closed-alpha-only functionality is gated intentionally and normal accounts do not receive tester-only rewards.</t>
  </si>
  <si>
    <t>Deploy</t>
  </si>
  <si>
    <t>Hard refresh on major routes</t>
  </si>
  <si>
    <t>1. Hard refresh Home, Profile, Pet, Hatchery/Storage, Inventory, Kithna.</t>
  </si>
  <si>
    <t>Every deployed route recovers correctly after hard refresh; no 404/blank screen caused by client routing.</t>
  </si>
  <si>
    <t>DeltaPets Closed Alpha — Full Use Test Dashboard</t>
  </si>
  <si>
    <t>Metric</t>
  </si>
  <si>
    <t>Count</t>
  </si>
  <si>
    <t>Total</t>
  </si>
  <si>
    <t>Pass</t>
  </si>
  <si>
    <t>Fail</t>
  </si>
  <si>
    <t>Total tests</t>
  </si>
  <si>
    <t>Passed</t>
  </si>
  <si>
    <t>Failed</t>
  </si>
  <si>
    <t>Blocked</t>
  </si>
  <si>
    <t>Release Gate</t>
  </si>
  <si>
    <t>Value</t>
  </si>
  <si>
    <t>Critical failures</t>
  </si>
  <si>
    <t>Critical blocked</t>
  </si>
  <si>
    <t>Ready for alpha?</t>
  </si>
  <si>
    <t>Date</t>
  </si>
  <si>
    <t>Tester</t>
  </si>
  <si>
    <t>Test ID</t>
  </si>
  <si>
    <t>Severity</t>
  </si>
  <si>
    <t>Summary</t>
  </si>
  <si>
    <t>Reproduction Steps</t>
  </si>
  <si>
    <t>Expected</t>
  </si>
  <si>
    <t>Actual</t>
  </si>
  <si>
    <t>Notes</t>
  </si>
  <si>
    <t>DeltaPets Full Use Test — How to Use This Workbook</t>
  </si>
  <si>
    <t>Goal</t>
  </si>
  <si>
    <t>Walk a tester from the public Home page through the complete currently testable alpha loop, while recording regressions reproducibly.</t>
  </si>
  <si>
    <t>Recommended first run</t>
  </si>
  <si>
    <t>Use a brand-new email/account. Do not reuse an account for the New Player Journey unless you deliberately reset it.</t>
  </si>
  <si>
    <t>Run order</t>
  </si>
  <si>
    <t>Start with 01 - New Player Journey and continue numerically. Some later rows require multiple pets, stored eggs, or a dedicated test account.</t>
  </si>
  <si>
    <t>Status meanings</t>
  </si>
  <si>
    <t>Not Run = untouched; Pass = expected result matched; Fail = reproducible problem; Blocked = cannot complete because another defect/dependency prevents the test.</t>
  </si>
  <si>
    <t>When a test fails</t>
  </si>
  <si>
    <t>Create a Bug ID (example DP-001), enter it in both Full Use Test and Bug Log, record exact reproduction steps, device/browser, expected behavior, actual behavior, and screenshots/video if useful.</t>
  </si>
  <si>
    <t>Critical rule</t>
  </si>
  <si>
    <t>A Critical failure means do not call the closed-alpha build healthy until the defect is fixed or deliberately accepted.</t>
  </si>
  <si>
    <t>Fresh account checkpoint</t>
  </si>
  <si>
    <t>After signup and activation, specifically watch for stale signed-in UI / blocked Explore behavior before the first-time intro has correctly resolved.</t>
  </si>
  <si>
    <t>Persistence checkpoint</t>
  </si>
  <si>
    <t>For eggs, timers, wallet, party, Storage, stats, and active pet, test both hard refresh and logout/login.</t>
  </si>
  <si>
    <t>Mobile checkpoint</t>
  </si>
  <si>
    <t>Run the dedicated mobile rows on Pixel 10, Galaxy S22, and Galaxy S22 Ultra. Pay special attention to popups, scroll regions, close/save buttons, and accidental double taps.</t>
  </si>
  <si>
    <t>Production checkpoint</t>
  </si>
  <si>
    <t>Do not expose secrets or perform intrusive security testing. This sheet is for normal closed-alpha acceptance behavior and basic production-safety checks.</t>
  </si>
  <si>
    <t>Source note</t>
  </si>
  <si>
    <t>Core acceptance flow was expanded from the DeltaPets closed-alpha acceptance checklist found in the user's project files. Newer UI-specific rows are framed as behavioral acceptance checks rather than claims that every feature is fully implemented.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</si>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</sst>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3294B"/>
      </patternFill>
    </fill>
    <fill>
      <patternFill patternType="solid">
        <fgColor rgb="FFEA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7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555555"/>
      </font>
      <fill>
        <patternFill patternType="solid">
          <bgColor rgb="FFE7E6E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B00020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llUseTestTable" displayName="FullUseTestTable" ref="A1:M96" totalsRowShown="0">
  <tableColumns count="13">
    <tableColumn id="1" xr3:uid="{00000000-0010-0000-0000-000001000000}" name="ID"/>
    <tableColumn id="2" xr3:uid="{00000000-0010-0000-0000-000002000000}" name="Section"/>
    <tableColumn id="3" xr3:uid="{00000000-0010-0000-0000-000003000000}" name="Area"/>
    <tableColumn id="4" xr3:uid="{00000000-0010-0000-0000-000004000000}" name="Test Case"/>
    <tableColumn id="5" xr3:uid="{00000000-0010-0000-0000-000005000000}" name="Priority"/>
    <tableColumn id="6" xr3:uid="{00000000-0010-0000-0000-000006000000}" name="Device"/>
    <tableColumn id="7" xr3:uid="{00000000-0010-0000-0000-000007000000}" name="Precondition"/>
    <tableColumn id="8" xr3:uid="{00000000-0010-0000-0000-000008000000}" name="Steps"/>
    <tableColumn id="9" xr3:uid="{00000000-0010-0000-0000-000009000000}" name="Expected Result"/>
    <tableColumn id="10" xr3:uid="{00000000-0010-0000-0000-00000A000000}" name="Status"/>
    <tableColumn id="11" xr3:uid="{00000000-0010-0000-0000-00000B000000}" name="Bug ID"/>
    <tableColumn id="12" xr3:uid="{00000000-0010-0000-0000-00000C000000}" name="Tester Notes"/>
    <tableColumn id="13" xr3:uid="{00000000-0010-0000-0000-00000D000000}" name="Test 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"/>
  <sheetViews>
    <sheetView tabSelected="1" workbookViewId="0"/>
  </sheetViews>
  <sheetFormatPr defaultRowHeight="14.25"/>
  <cols>
    <col min="1" max="1" width="7" customWidth="1"/>
    <col min="2" max="2" width="24" customWidth="1"/>
    <col min="3" max="3" width="20" customWidth="1"/>
    <col min="4" max="4" width="34" customWidth="1"/>
    <col min="5" max="5" width="12" customWidth="1"/>
    <col min="6" max="6" width="18" customWidth="1"/>
    <col min="7" max="7" width="28" customWidth="1"/>
    <col min="8" max="9" width="48" customWidth="1"/>
    <col min="10" max="10" width="14" customWidth="1"/>
    <col min="11" max="11" width="12" customWidth="1"/>
    <col min="12" max="12" width="34" customWidth="1"/>
    <col min="13" max="13" width="22" customWidth="1"/>
  </cols>
  <sheetData>
    <row r="1" spans="1:13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42.75">
      <c r="A2" s="4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/>
      <c r="L2" s="4"/>
      <c r="M2" s="4" t="s">
        <v>22</v>
      </c>
    </row>
    <row r="3" spans="1:13" ht="42.75">
      <c r="A3" s="4">
        <v>2</v>
      </c>
      <c r="B3" s="4" t="s">
        <v>13</v>
      </c>
      <c r="C3" s="4" t="s">
        <v>14</v>
      </c>
      <c r="D3" s="4" t="s">
        <v>23</v>
      </c>
      <c r="E3" s="4" t="s">
        <v>16</v>
      </c>
      <c r="F3" s="4" t="s">
        <v>17</v>
      </c>
      <c r="G3" s="4" t="s">
        <v>24</v>
      </c>
      <c r="H3" s="4" t="s">
        <v>25</v>
      </c>
      <c r="I3" s="4" t="s">
        <v>26</v>
      </c>
      <c r="J3" s="4" t="s">
        <v>21</v>
      </c>
      <c r="K3" s="4"/>
      <c r="L3" s="4"/>
      <c r="M3" s="4" t="s">
        <v>22</v>
      </c>
    </row>
    <row r="4" spans="1:13" ht="28.5">
      <c r="A4" s="4">
        <v>3</v>
      </c>
      <c r="B4" s="4" t="s">
        <v>13</v>
      </c>
      <c r="C4" s="4" t="s">
        <v>27</v>
      </c>
      <c r="D4" s="4" t="s">
        <v>28</v>
      </c>
      <c r="E4" s="4" t="s">
        <v>16</v>
      </c>
      <c r="F4" s="4" t="s">
        <v>17</v>
      </c>
      <c r="G4" s="4" t="s">
        <v>24</v>
      </c>
      <c r="H4" s="4" t="s">
        <v>29</v>
      </c>
      <c r="I4" s="4" t="s">
        <v>30</v>
      </c>
      <c r="J4" s="4" t="s">
        <v>21</v>
      </c>
      <c r="K4" s="4"/>
      <c r="L4" s="4"/>
      <c r="M4" s="4" t="s">
        <v>22</v>
      </c>
    </row>
    <row r="5" spans="1:13" ht="28.5">
      <c r="A5" s="4">
        <v>4</v>
      </c>
      <c r="B5" s="4" t="s">
        <v>13</v>
      </c>
      <c r="C5" s="4" t="s">
        <v>27</v>
      </c>
      <c r="D5" s="4" t="s">
        <v>31</v>
      </c>
      <c r="E5" s="4" t="s">
        <v>32</v>
      </c>
      <c r="F5" s="4" t="s">
        <v>17</v>
      </c>
      <c r="G5" s="4" t="s">
        <v>33</v>
      </c>
      <c r="H5" s="4" t="s">
        <v>34</v>
      </c>
      <c r="I5" s="4" t="s">
        <v>35</v>
      </c>
      <c r="J5" s="4" t="s">
        <v>21</v>
      </c>
      <c r="K5" s="4"/>
      <c r="L5" s="4"/>
      <c r="M5" s="4" t="s">
        <v>22</v>
      </c>
    </row>
    <row r="6" spans="1:13" ht="42.75">
      <c r="A6" s="4">
        <v>5</v>
      </c>
      <c r="B6" s="4" t="s">
        <v>13</v>
      </c>
      <c r="C6" s="4" t="s">
        <v>27</v>
      </c>
      <c r="D6" s="4" t="s">
        <v>36</v>
      </c>
      <c r="E6" s="4" t="s">
        <v>16</v>
      </c>
      <c r="F6" s="4" t="s">
        <v>17</v>
      </c>
      <c r="G6" s="4" t="s">
        <v>37</v>
      </c>
      <c r="H6" s="4" t="s">
        <v>38</v>
      </c>
      <c r="I6" s="4" t="s">
        <v>39</v>
      </c>
      <c r="J6" s="4" t="s">
        <v>21</v>
      </c>
      <c r="K6" s="4"/>
      <c r="L6" s="4"/>
      <c r="M6" s="4" t="s">
        <v>22</v>
      </c>
    </row>
    <row r="7" spans="1:13" ht="42.75">
      <c r="A7" s="4">
        <v>6</v>
      </c>
      <c r="B7" s="4" t="s">
        <v>13</v>
      </c>
      <c r="C7" s="4" t="s">
        <v>40</v>
      </c>
      <c r="D7" s="4" t="s">
        <v>41</v>
      </c>
      <c r="E7" s="4" t="s">
        <v>16</v>
      </c>
      <c r="F7" s="4" t="s">
        <v>17</v>
      </c>
      <c r="G7" s="4" t="s">
        <v>42</v>
      </c>
      <c r="H7" s="4" t="s">
        <v>43</v>
      </c>
      <c r="I7" s="4" t="s">
        <v>44</v>
      </c>
      <c r="J7" s="4" t="s">
        <v>21</v>
      </c>
      <c r="K7" s="4"/>
      <c r="L7" s="4"/>
      <c r="M7" s="4" t="s">
        <v>45</v>
      </c>
    </row>
    <row r="8" spans="1:13" ht="42.75">
      <c r="A8" s="4">
        <v>7</v>
      </c>
      <c r="B8" s="4" t="s">
        <v>13</v>
      </c>
      <c r="C8" s="4" t="s">
        <v>40</v>
      </c>
      <c r="D8" s="4" t="s">
        <v>46</v>
      </c>
      <c r="E8" s="4" t="s">
        <v>16</v>
      </c>
      <c r="F8" s="4" t="s">
        <v>17</v>
      </c>
      <c r="G8" s="4" t="s">
        <v>47</v>
      </c>
      <c r="H8" s="4" t="s">
        <v>48</v>
      </c>
      <c r="I8" s="4" t="s">
        <v>49</v>
      </c>
      <c r="J8" s="4" t="s">
        <v>21</v>
      </c>
      <c r="K8" s="4"/>
      <c r="L8" s="4"/>
      <c r="M8" s="4" t="s">
        <v>22</v>
      </c>
    </row>
    <row r="9" spans="1:13" ht="42.75">
      <c r="A9" s="4">
        <v>8</v>
      </c>
      <c r="B9" s="4" t="s">
        <v>13</v>
      </c>
      <c r="C9" s="4" t="s">
        <v>50</v>
      </c>
      <c r="D9" s="4" t="s">
        <v>51</v>
      </c>
      <c r="E9" s="4" t="s">
        <v>16</v>
      </c>
      <c r="F9" s="4" t="s">
        <v>17</v>
      </c>
      <c r="G9" s="4" t="s">
        <v>52</v>
      </c>
      <c r="H9" s="4" t="s">
        <v>53</v>
      </c>
      <c r="I9" s="4" t="s">
        <v>54</v>
      </c>
      <c r="J9" s="4" t="s">
        <v>21</v>
      </c>
      <c r="K9" s="4"/>
      <c r="L9" s="4"/>
      <c r="M9" s="4" t="s">
        <v>22</v>
      </c>
    </row>
    <row r="10" spans="1:13" ht="42.75">
      <c r="A10" s="4">
        <v>9</v>
      </c>
      <c r="B10" s="4" t="s">
        <v>13</v>
      </c>
      <c r="C10" s="4" t="s">
        <v>55</v>
      </c>
      <c r="D10" s="4" t="s">
        <v>56</v>
      </c>
      <c r="E10" s="4" t="s">
        <v>16</v>
      </c>
      <c r="F10" s="4" t="s">
        <v>17</v>
      </c>
      <c r="G10" s="4" t="s">
        <v>57</v>
      </c>
      <c r="H10" s="4" t="s">
        <v>58</v>
      </c>
      <c r="I10" s="4" t="s">
        <v>59</v>
      </c>
      <c r="J10" s="4" t="s">
        <v>21</v>
      </c>
      <c r="K10" s="4"/>
      <c r="L10" s="4"/>
      <c r="M10" s="4" t="s">
        <v>22</v>
      </c>
    </row>
    <row r="11" spans="1:13" ht="42.75">
      <c r="A11" s="4">
        <v>10</v>
      </c>
      <c r="B11" s="4" t="s">
        <v>13</v>
      </c>
      <c r="C11" s="4" t="s">
        <v>60</v>
      </c>
      <c r="D11" s="4" t="s">
        <v>61</v>
      </c>
      <c r="E11" s="4" t="s">
        <v>16</v>
      </c>
      <c r="F11" s="4" t="s">
        <v>17</v>
      </c>
      <c r="G11" s="4" t="s">
        <v>62</v>
      </c>
      <c r="H11" s="4" t="s">
        <v>63</v>
      </c>
      <c r="I11" s="4" t="s">
        <v>64</v>
      </c>
      <c r="J11" s="4" t="s">
        <v>21</v>
      </c>
      <c r="K11" s="4"/>
      <c r="L11" s="4"/>
      <c r="M11" s="4" t="s">
        <v>22</v>
      </c>
    </row>
    <row r="12" spans="1:13" ht="42.75">
      <c r="A12" s="4">
        <v>11</v>
      </c>
      <c r="B12" s="4" t="s">
        <v>13</v>
      </c>
      <c r="C12" s="4" t="s">
        <v>60</v>
      </c>
      <c r="D12" s="4" t="s">
        <v>65</v>
      </c>
      <c r="E12" s="4" t="s">
        <v>16</v>
      </c>
      <c r="F12" s="4" t="s">
        <v>17</v>
      </c>
      <c r="G12" s="4" t="s">
        <v>66</v>
      </c>
      <c r="H12" s="4" t="s">
        <v>67</v>
      </c>
      <c r="I12" s="4" t="s">
        <v>68</v>
      </c>
      <c r="J12" s="4" t="s">
        <v>21</v>
      </c>
      <c r="K12" s="4"/>
      <c r="L12" s="4"/>
      <c r="M12" s="4" t="s">
        <v>22</v>
      </c>
    </row>
    <row r="13" spans="1:13" ht="28.5">
      <c r="A13" s="4">
        <v>12</v>
      </c>
      <c r="B13" s="4" t="s">
        <v>13</v>
      </c>
      <c r="C13" s="4" t="s">
        <v>60</v>
      </c>
      <c r="D13" s="4" t="s">
        <v>69</v>
      </c>
      <c r="E13" s="4" t="s">
        <v>32</v>
      </c>
      <c r="F13" s="4" t="s">
        <v>17</v>
      </c>
      <c r="G13" s="4" t="s">
        <v>70</v>
      </c>
      <c r="H13" s="4" t="s">
        <v>71</v>
      </c>
      <c r="I13" s="4" t="s">
        <v>72</v>
      </c>
      <c r="J13" s="4" t="s">
        <v>21</v>
      </c>
      <c r="K13" s="4"/>
      <c r="L13" s="4"/>
      <c r="M13" s="4" t="s">
        <v>22</v>
      </c>
    </row>
    <row r="14" spans="1:13" ht="28.5">
      <c r="A14" s="4">
        <v>13</v>
      </c>
      <c r="B14" s="4" t="s">
        <v>13</v>
      </c>
      <c r="C14" s="4" t="s">
        <v>73</v>
      </c>
      <c r="D14" s="4" t="s">
        <v>74</v>
      </c>
      <c r="E14" s="4" t="s">
        <v>16</v>
      </c>
      <c r="F14" s="4" t="s">
        <v>17</v>
      </c>
      <c r="G14" s="4" t="s">
        <v>75</v>
      </c>
      <c r="H14" s="4" t="s">
        <v>76</v>
      </c>
      <c r="I14" s="4" t="s">
        <v>77</v>
      </c>
      <c r="J14" s="4" t="s">
        <v>21</v>
      </c>
      <c r="K14" s="4"/>
      <c r="L14" s="4"/>
      <c r="M14" s="4" t="s">
        <v>22</v>
      </c>
    </row>
    <row r="15" spans="1:13" ht="28.5">
      <c r="A15" s="4">
        <v>14</v>
      </c>
      <c r="B15" s="4" t="s">
        <v>13</v>
      </c>
      <c r="C15" s="4" t="s">
        <v>73</v>
      </c>
      <c r="D15" s="4" t="s">
        <v>78</v>
      </c>
      <c r="E15" s="4" t="s">
        <v>16</v>
      </c>
      <c r="F15" s="4" t="s">
        <v>17</v>
      </c>
      <c r="G15" s="4" t="s">
        <v>79</v>
      </c>
      <c r="H15" s="4" t="s">
        <v>80</v>
      </c>
      <c r="I15" s="4" t="s">
        <v>81</v>
      </c>
      <c r="J15" s="4" t="s">
        <v>21</v>
      </c>
      <c r="K15" s="4"/>
      <c r="L15" s="4"/>
      <c r="M15" s="4" t="s">
        <v>22</v>
      </c>
    </row>
    <row r="16" spans="1:13" ht="42.75">
      <c r="A16" s="4">
        <v>15</v>
      </c>
      <c r="B16" s="4" t="s">
        <v>13</v>
      </c>
      <c r="C16" s="4" t="s">
        <v>55</v>
      </c>
      <c r="D16" s="4" t="s">
        <v>82</v>
      </c>
      <c r="E16" s="4" t="s">
        <v>16</v>
      </c>
      <c r="F16" s="4" t="s">
        <v>17</v>
      </c>
      <c r="G16" s="4" t="s">
        <v>83</v>
      </c>
      <c r="H16" s="4" t="s">
        <v>84</v>
      </c>
      <c r="I16" s="4" t="s">
        <v>85</v>
      </c>
      <c r="J16" s="4" t="s">
        <v>21</v>
      </c>
      <c r="K16" s="4"/>
      <c r="L16" s="4"/>
      <c r="M16" s="4" t="s">
        <v>22</v>
      </c>
    </row>
    <row r="17" spans="1:13" ht="42.75">
      <c r="A17" s="4">
        <v>16</v>
      </c>
      <c r="B17" s="4" t="s">
        <v>13</v>
      </c>
      <c r="C17" s="4" t="s">
        <v>86</v>
      </c>
      <c r="D17" s="4" t="s">
        <v>87</v>
      </c>
      <c r="E17" s="4" t="s">
        <v>16</v>
      </c>
      <c r="F17" s="4" t="s">
        <v>17</v>
      </c>
      <c r="G17" s="4" t="s">
        <v>88</v>
      </c>
      <c r="H17" s="4" t="s">
        <v>89</v>
      </c>
      <c r="I17" s="4" t="s">
        <v>90</v>
      </c>
      <c r="J17" s="4" t="s">
        <v>21</v>
      </c>
      <c r="K17" s="4"/>
      <c r="L17" s="4"/>
      <c r="M17" s="4" t="s">
        <v>22</v>
      </c>
    </row>
    <row r="18" spans="1:13" ht="28.5">
      <c r="A18" s="4">
        <v>17</v>
      </c>
      <c r="B18" s="4" t="s">
        <v>13</v>
      </c>
      <c r="C18" s="4" t="s">
        <v>91</v>
      </c>
      <c r="D18" s="4" t="s">
        <v>92</v>
      </c>
      <c r="E18" s="4" t="s">
        <v>16</v>
      </c>
      <c r="F18" s="4" t="s">
        <v>17</v>
      </c>
      <c r="G18" s="4" t="s">
        <v>88</v>
      </c>
      <c r="H18" s="4" t="s">
        <v>93</v>
      </c>
      <c r="I18" s="4" t="s">
        <v>94</v>
      </c>
      <c r="J18" s="4" t="s">
        <v>21</v>
      </c>
      <c r="K18" s="4"/>
      <c r="L18" s="4"/>
      <c r="M18" s="4" t="s">
        <v>22</v>
      </c>
    </row>
    <row r="19" spans="1:13" ht="42.75">
      <c r="A19" s="4">
        <v>18</v>
      </c>
      <c r="B19" s="4" t="s">
        <v>95</v>
      </c>
      <c r="C19" s="4" t="s">
        <v>96</v>
      </c>
      <c r="D19" s="4" t="s">
        <v>97</v>
      </c>
      <c r="E19" s="4" t="s">
        <v>16</v>
      </c>
      <c r="F19" s="4" t="s">
        <v>17</v>
      </c>
      <c r="G19" s="4" t="s">
        <v>98</v>
      </c>
      <c r="H19" s="4" t="s">
        <v>99</v>
      </c>
      <c r="I19" s="4" t="s">
        <v>100</v>
      </c>
      <c r="J19" s="4" t="s">
        <v>21</v>
      </c>
      <c r="K19" s="4"/>
      <c r="L19" s="4"/>
      <c r="M19" s="4" t="s">
        <v>22</v>
      </c>
    </row>
    <row r="20" spans="1:13" ht="42.75">
      <c r="A20" s="4">
        <v>19</v>
      </c>
      <c r="B20" s="4" t="s">
        <v>95</v>
      </c>
      <c r="C20" s="4" t="s">
        <v>101</v>
      </c>
      <c r="D20" s="4" t="s">
        <v>102</v>
      </c>
      <c r="E20" s="4" t="s">
        <v>16</v>
      </c>
      <c r="F20" s="4" t="s">
        <v>17</v>
      </c>
      <c r="G20" s="4" t="s">
        <v>103</v>
      </c>
      <c r="H20" s="4" t="s">
        <v>104</v>
      </c>
      <c r="I20" s="4" t="s">
        <v>105</v>
      </c>
      <c r="J20" s="4" t="s">
        <v>21</v>
      </c>
      <c r="K20" s="4"/>
      <c r="L20" s="4"/>
      <c r="M20" s="4" t="s">
        <v>22</v>
      </c>
    </row>
    <row r="21" spans="1:13" ht="28.5">
      <c r="A21" s="4">
        <v>20</v>
      </c>
      <c r="B21" s="4" t="s">
        <v>95</v>
      </c>
      <c r="C21" s="4" t="s">
        <v>106</v>
      </c>
      <c r="D21" s="4" t="s">
        <v>107</v>
      </c>
      <c r="E21" s="4" t="s">
        <v>32</v>
      </c>
      <c r="F21" s="4" t="s">
        <v>17</v>
      </c>
      <c r="G21" s="4" t="s">
        <v>108</v>
      </c>
      <c r="H21" s="4" t="s">
        <v>109</v>
      </c>
      <c r="I21" s="4" t="s">
        <v>110</v>
      </c>
      <c r="J21" s="4" t="s">
        <v>21</v>
      </c>
      <c r="K21" s="4"/>
      <c r="L21" s="4"/>
      <c r="M21" s="4" t="s">
        <v>22</v>
      </c>
    </row>
    <row r="22" spans="1:13" ht="28.5">
      <c r="A22" s="4">
        <v>21</v>
      </c>
      <c r="B22" s="4" t="s">
        <v>95</v>
      </c>
      <c r="C22" s="4" t="s">
        <v>111</v>
      </c>
      <c r="D22" s="4" t="s">
        <v>112</v>
      </c>
      <c r="E22" s="4" t="s">
        <v>16</v>
      </c>
      <c r="F22" s="4" t="s">
        <v>17</v>
      </c>
      <c r="G22" s="4" t="s">
        <v>113</v>
      </c>
      <c r="H22" s="4" t="s">
        <v>114</v>
      </c>
      <c r="I22" s="4" t="s">
        <v>115</v>
      </c>
      <c r="J22" s="4" t="s">
        <v>21</v>
      </c>
      <c r="K22" s="4"/>
      <c r="L22" s="4"/>
      <c r="M22" s="4" t="s">
        <v>22</v>
      </c>
    </row>
    <row r="23" spans="1:13" ht="42.75">
      <c r="A23" s="4">
        <v>22</v>
      </c>
      <c r="B23" s="4" t="s">
        <v>95</v>
      </c>
      <c r="C23" s="4" t="s">
        <v>96</v>
      </c>
      <c r="D23" s="4" t="s">
        <v>116</v>
      </c>
      <c r="E23" s="4" t="s">
        <v>16</v>
      </c>
      <c r="F23" s="4" t="s">
        <v>17</v>
      </c>
      <c r="G23" s="4" t="s">
        <v>117</v>
      </c>
      <c r="H23" s="4" t="s">
        <v>99</v>
      </c>
      <c r="I23" s="4" t="s">
        <v>100</v>
      </c>
      <c r="J23" s="4" t="s">
        <v>21</v>
      </c>
      <c r="K23" s="4"/>
      <c r="L23" s="4"/>
      <c r="M23" s="4" t="s">
        <v>22</v>
      </c>
    </row>
    <row r="24" spans="1:13" ht="42.75">
      <c r="A24" s="4">
        <v>23</v>
      </c>
      <c r="B24" s="4" t="s">
        <v>95</v>
      </c>
      <c r="C24" s="4" t="s">
        <v>101</v>
      </c>
      <c r="D24" s="4" t="s">
        <v>118</v>
      </c>
      <c r="E24" s="4" t="s">
        <v>16</v>
      </c>
      <c r="F24" s="4" t="s">
        <v>17</v>
      </c>
      <c r="G24" s="4" t="s">
        <v>103</v>
      </c>
      <c r="H24" s="4" t="s">
        <v>104</v>
      </c>
      <c r="I24" s="4" t="s">
        <v>105</v>
      </c>
      <c r="J24" s="4" t="s">
        <v>21</v>
      </c>
      <c r="K24" s="4"/>
      <c r="L24" s="4"/>
      <c r="M24" s="4" t="s">
        <v>22</v>
      </c>
    </row>
    <row r="25" spans="1:13" ht="28.5">
      <c r="A25" s="4">
        <v>24</v>
      </c>
      <c r="B25" s="4" t="s">
        <v>95</v>
      </c>
      <c r="C25" s="4" t="s">
        <v>106</v>
      </c>
      <c r="D25" s="4" t="s">
        <v>119</v>
      </c>
      <c r="E25" s="4" t="s">
        <v>32</v>
      </c>
      <c r="F25" s="4" t="s">
        <v>17</v>
      </c>
      <c r="G25" s="4" t="s">
        <v>108</v>
      </c>
      <c r="H25" s="4" t="s">
        <v>109</v>
      </c>
      <c r="I25" s="4" t="s">
        <v>110</v>
      </c>
      <c r="J25" s="4" t="s">
        <v>21</v>
      </c>
      <c r="K25" s="4"/>
      <c r="L25" s="4"/>
      <c r="M25" s="4" t="s">
        <v>22</v>
      </c>
    </row>
    <row r="26" spans="1:13" ht="28.5">
      <c r="A26" s="4">
        <v>25</v>
      </c>
      <c r="B26" s="4" t="s">
        <v>95</v>
      </c>
      <c r="C26" s="4" t="s">
        <v>111</v>
      </c>
      <c r="D26" s="4" t="s">
        <v>120</v>
      </c>
      <c r="E26" s="4" t="s">
        <v>16</v>
      </c>
      <c r="F26" s="4" t="s">
        <v>17</v>
      </c>
      <c r="G26" s="4" t="s">
        <v>113</v>
      </c>
      <c r="H26" s="4" t="s">
        <v>114</v>
      </c>
      <c r="I26" s="4" t="s">
        <v>121</v>
      </c>
      <c r="J26" s="4" t="s">
        <v>21</v>
      </c>
      <c r="K26" s="4"/>
      <c r="L26" s="4"/>
      <c r="M26" s="4" t="s">
        <v>22</v>
      </c>
    </row>
    <row r="27" spans="1:13" ht="42.75">
      <c r="A27" s="4">
        <v>26</v>
      </c>
      <c r="B27" s="4" t="s">
        <v>95</v>
      </c>
      <c r="C27" s="4" t="s">
        <v>96</v>
      </c>
      <c r="D27" s="4" t="s">
        <v>122</v>
      </c>
      <c r="E27" s="4" t="s">
        <v>16</v>
      </c>
      <c r="F27" s="4" t="s">
        <v>17</v>
      </c>
      <c r="G27" s="4" t="s">
        <v>123</v>
      </c>
      <c r="H27" s="4" t="s">
        <v>99</v>
      </c>
      <c r="I27" s="4" t="s">
        <v>100</v>
      </c>
      <c r="J27" s="4" t="s">
        <v>21</v>
      </c>
      <c r="K27" s="4"/>
      <c r="L27" s="4"/>
      <c r="M27" s="4" t="s">
        <v>22</v>
      </c>
    </row>
    <row r="28" spans="1:13" ht="42.75">
      <c r="A28" s="4">
        <v>27</v>
      </c>
      <c r="B28" s="4" t="s">
        <v>95</v>
      </c>
      <c r="C28" s="4" t="s">
        <v>101</v>
      </c>
      <c r="D28" s="4" t="s">
        <v>124</v>
      </c>
      <c r="E28" s="4" t="s">
        <v>16</v>
      </c>
      <c r="F28" s="4" t="s">
        <v>17</v>
      </c>
      <c r="G28" s="4" t="s">
        <v>103</v>
      </c>
      <c r="H28" s="4" t="s">
        <v>104</v>
      </c>
      <c r="I28" s="4" t="s">
        <v>105</v>
      </c>
      <c r="J28" s="4" t="s">
        <v>21</v>
      </c>
      <c r="K28" s="4"/>
      <c r="L28" s="4"/>
      <c r="M28" s="4" t="s">
        <v>22</v>
      </c>
    </row>
    <row r="29" spans="1:13" ht="28.5">
      <c r="A29" s="4">
        <v>28</v>
      </c>
      <c r="B29" s="4" t="s">
        <v>95</v>
      </c>
      <c r="C29" s="4" t="s">
        <v>106</v>
      </c>
      <c r="D29" s="4" t="s">
        <v>125</v>
      </c>
      <c r="E29" s="4" t="s">
        <v>32</v>
      </c>
      <c r="F29" s="4" t="s">
        <v>17</v>
      </c>
      <c r="G29" s="4" t="s">
        <v>108</v>
      </c>
      <c r="H29" s="4" t="s">
        <v>109</v>
      </c>
      <c r="I29" s="4" t="s">
        <v>110</v>
      </c>
      <c r="J29" s="4" t="s">
        <v>21</v>
      </c>
      <c r="K29" s="4"/>
      <c r="L29" s="4"/>
      <c r="M29" s="4" t="s">
        <v>22</v>
      </c>
    </row>
    <row r="30" spans="1:13" ht="28.5">
      <c r="A30" s="4">
        <v>29</v>
      </c>
      <c r="B30" s="4" t="s">
        <v>95</v>
      </c>
      <c r="C30" s="4" t="s">
        <v>111</v>
      </c>
      <c r="D30" s="4" t="s">
        <v>126</v>
      </c>
      <c r="E30" s="4" t="s">
        <v>16</v>
      </c>
      <c r="F30" s="4" t="s">
        <v>17</v>
      </c>
      <c r="G30" s="4" t="s">
        <v>113</v>
      </c>
      <c r="H30" s="4" t="s">
        <v>114</v>
      </c>
      <c r="I30" s="4" t="s">
        <v>127</v>
      </c>
      <c r="J30" s="4" t="s">
        <v>21</v>
      </c>
      <c r="K30" s="4"/>
      <c r="L30" s="4"/>
      <c r="M30" s="4" t="s">
        <v>22</v>
      </c>
    </row>
    <row r="31" spans="1:13" ht="57">
      <c r="A31" s="4">
        <v>30</v>
      </c>
      <c r="B31" s="4" t="s">
        <v>95</v>
      </c>
      <c r="C31" s="4" t="s">
        <v>128</v>
      </c>
      <c r="D31" s="4" t="s">
        <v>129</v>
      </c>
      <c r="E31" s="4" t="s">
        <v>16</v>
      </c>
      <c r="F31" s="4" t="s">
        <v>17</v>
      </c>
      <c r="G31" s="4" t="s">
        <v>130</v>
      </c>
      <c r="H31" s="4" t="s">
        <v>131</v>
      </c>
      <c r="I31" s="4" t="s">
        <v>132</v>
      </c>
      <c r="J31" s="4" t="s">
        <v>21</v>
      </c>
      <c r="K31" s="4"/>
      <c r="L31" s="4"/>
      <c r="M31" s="4" t="s">
        <v>22</v>
      </c>
    </row>
    <row r="32" spans="1:13" ht="42.75">
      <c r="A32" s="4">
        <v>31</v>
      </c>
      <c r="B32" s="4" t="s">
        <v>95</v>
      </c>
      <c r="C32" s="4" t="s">
        <v>111</v>
      </c>
      <c r="D32" s="4" t="s">
        <v>133</v>
      </c>
      <c r="E32" s="4" t="s">
        <v>16</v>
      </c>
      <c r="F32" s="4" t="s">
        <v>17</v>
      </c>
      <c r="G32" s="4" t="s">
        <v>134</v>
      </c>
      <c r="H32" s="4" t="s">
        <v>135</v>
      </c>
      <c r="I32" s="4" t="s">
        <v>136</v>
      </c>
      <c r="J32" s="4" t="s">
        <v>21</v>
      </c>
      <c r="K32" s="4"/>
      <c r="L32" s="4"/>
      <c r="M32" s="4" t="s">
        <v>22</v>
      </c>
    </row>
    <row r="33" spans="1:13" ht="57">
      <c r="A33" s="4">
        <v>32</v>
      </c>
      <c r="B33" s="4" t="s">
        <v>95</v>
      </c>
      <c r="C33" s="4" t="s">
        <v>137</v>
      </c>
      <c r="D33" s="4" t="s">
        <v>138</v>
      </c>
      <c r="E33" s="4" t="s">
        <v>16</v>
      </c>
      <c r="F33" s="4" t="s">
        <v>17</v>
      </c>
      <c r="G33" s="4" t="s">
        <v>139</v>
      </c>
      <c r="H33" s="4" t="s">
        <v>140</v>
      </c>
      <c r="I33" s="4" t="s">
        <v>141</v>
      </c>
      <c r="J33" s="4" t="s">
        <v>21</v>
      </c>
      <c r="K33" s="4"/>
      <c r="L33" s="4"/>
      <c r="M33" s="4" t="s">
        <v>22</v>
      </c>
    </row>
    <row r="34" spans="1:13" ht="42.75">
      <c r="A34" s="4">
        <v>33</v>
      </c>
      <c r="B34" s="4" t="s">
        <v>95</v>
      </c>
      <c r="C34" s="4" t="s">
        <v>101</v>
      </c>
      <c r="D34" s="4" t="s">
        <v>142</v>
      </c>
      <c r="E34" s="4" t="s">
        <v>16</v>
      </c>
      <c r="F34" s="4" t="s">
        <v>17</v>
      </c>
      <c r="G34" s="4" t="s">
        <v>143</v>
      </c>
      <c r="H34" s="4" t="s">
        <v>144</v>
      </c>
      <c r="I34" s="4" t="s">
        <v>145</v>
      </c>
      <c r="J34" s="4" t="s">
        <v>21</v>
      </c>
      <c r="K34" s="4"/>
      <c r="L34" s="4"/>
      <c r="M34" s="4" t="s">
        <v>22</v>
      </c>
    </row>
    <row r="35" spans="1:13" ht="28.5">
      <c r="A35" s="4">
        <v>34</v>
      </c>
      <c r="B35" s="4" t="s">
        <v>146</v>
      </c>
      <c r="C35" s="4" t="s">
        <v>147</v>
      </c>
      <c r="D35" s="4" t="s">
        <v>148</v>
      </c>
      <c r="E35" s="4" t="s">
        <v>16</v>
      </c>
      <c r="F35" s="4" t="s">
        <v>17</v>
      </c>
      <c r="G35" s="4" t="s">
        <v>149</v>
      </c>
      <c r="H35" s="4" t="s">
        <v>150</v>
      </c>
      <c r="I35" s="4" t="s">
        <v>151</v>
      </c>
      <c r="J35" s="4" t="s">
        <v>21</v>
      </c>
      <c r="K35" s="4"/>
      <c r="L35" s="4"/>
      <c r="M35" s="4" t="s">
        <v>22</v>
      </c>
    </row>
    <row r="36" spans="1:13" ht="28.5">
      <c r="A36" s="4">
        <v>35</v>
      </c>
      <c r="B36" s="4" t="s">
        <v>146</v>
      </c>
      <c r="C36" s="4" t="s">
        <v>147</v>
      </c>
      <c r="D36" s="4" t="s">
        <v>152</v>
      </c>
      <c r="E36" s="4" t="s">
        <v>32</v>
      </c>
      <c r="F36" s="4" t="s">
        <v>17</v>
      </c>
      <c r="G36" s="4" t="s">
        <v>153</v>
      </c>
      <c r="H36" s="4" t="s">
        <v>154</v>
      </c>
      <c r="I36" s="4" t="s">
        <v>155</v>
      </c>
      <c r="J36" s="4" t="s">
        <v>21</v>
      </c>
      <c r="K36" s="4"/>
      <c r="L36" s="4"/>
      <c r="M36" s="4" t="s">
        <v>22</v>
      </c>
    </row>
    <row r="37" spans="1:13" ht="42.75">
      <c r="A37" s="4">
        <v>36</v>
      </c>
      <c r="B37" s="4" t="s">
        <v>146</v>
      </c>
      <c r="C37" s="4" t="s">
        <v>147</v>
      </c>
      <c r="D37" s="4" t="s">
        <v>156</v>
      </c>
      <c r="E37" s="4" t="s">
        <v>16</v>
      </c>
      <c r="F37" s="4" t="s">
        <v>17</v>
      </c>
      <c r="G37" s="4" t="s">
        <v>157</v>
      </c>
      <c r="H37" s="4" t="s">
        <v>158</v>
      </c>
      <c r="I37" s="4" t="s">
        <v>159</v>
      </c>
      <c r="J37" s="4" t="s">
        <v>21</v>
      </c>
      <c r="K37" s="4"/>
      <c r="L37" s="4"/>
      <c r="M37" s="4" t="s">
        <v>22</v>
      </c>
    </row>
    <row r="38" spans="1:13" ht="28.5">
      <c r="A38" s="4">
        <v>37</v>
      </c>
      <c r="B38" s="4" t="s">
        <v>146</v>
      </c>
      <c r="C38" s="4" t="s">
        <v>147</v>
      </c>
      <c r="D38" s="4" t="s">
        <v>160</v>
      </c>
      <c r="E38" s="4" t="s">
        <v>16</v>
      </c>
      <c r="F38" s="4" t="s">
        <v>17</v>
      </c>
      <c r="G38" s="4" t="s">
        <v>161</v>
      </c>
      <c r="H38" s="4" t="s">
        <v>162</v>
      </c>
      <c r="I38" s="4" t="s">
        <v>163</v>
      </c>
      <c r="J38" s="4" t="s">
        <v>21</v>
      </c>
      <c r="K38" s="4"/>
      <c r="L38" s="4"/>
      <c r="M38" s="4" t="s">
        <v>22</v>
      </c>
    </row>
    <row r="39" spans="1:13" ht="28.5">
      <c r="A39" s="4">
        <v>38</v>
      </c>
      <c r="B39" s="4" t="s">
        <v>146</v>
      </c>
      <c r="C39" s="4" t="s">
        <v>147</v>
      </c>
      <c r="D39" s="4" t="s">
        <v>164</v>
      </c>
      <c r="E39" s="4" t="s">
        <v>16</v>
      </c>
      <c r="F39" s="4" t="s">
        <v>17</v>
      </c>
      <c r="G39" s="4" t="s">
        <v>165</v>
      </c>
      <c r="H39" s="4" t="s">
        <v>166</v>
      </c>
      <c r="I39" s="4" t="s">
        <v>167</v>
      </c>
      <c r="J39" s="4" t="s">
        <v>21</v>
      </c>
      <c r="K39" s="4"/>
      <c r="L39" s="4"/>
      <c r="M39" s="4" t="s">
        <v>22</v>
      </c>
    </row>
    <row r="40" spans="1:13" ht="42.75">
      <c r="A40" s="4">
        <v>39</v>
      </c>
      <c r="B40" s="4" t="s">
        <v>146</v>
      </c>
      <c r="C40" s="4" t="s">
        <v>168</v>
      </c>
      <c r="D40" s="4" t="s">
        <v>169</v>
      </c>
      <c r="E40" s="4" t="s">
        <v>32</v>
      </c>
      <c r="F40" s="4" t="s">
        <v>17</v>
      </c>
      <c r="G40" s="4" t="s">
        <v>170</v>
      </c>
      <c r="H40" s="4" t="s">
        <v>171</v>
      </c>
      <c r="I40" s="4" t="s">
        <v>172</v>
      </c>
      <c r="J40" s="4" t="s">
        <v>21</v>
      </c>
      <c r="K40" s="4"/>
      <c r="L40" s="4"/>
      <c r="M40" s="4" t="s">
        <v>22</v>
      </c>
    </row>
    <row r="41" spans="1:13" ht="42.75">
      <c r="A41" s="4">
        <v>40</v>
      </c>
      <c r="B41" s="4" t="s">
        <v>146</v>
      </c>
      <c r="C41" s="4" t="s">
        <v>173</v>
      </c>
      <c r="D41" s="4" t="s">
        <v>174</v>
      </c>
      <c r="E41" s="4" t="s">
        <v>32</v>
      </c>
      <c r="F41" s="4" t="s">
        <v>17</v>
      </c>
      <c r="G41" s="4" t="s">
        <v>175</v>
      </c>
      <c r="H41" s="4" t="s">
        <v>176</v>
      </c>
      <c r="I41" s="4" t="s">
        <v>177</v>
      </c>
      <c r="J41" s="4" t="s">
        <v>21</v>
      </c>
      <c r="K41" s="4"/>
      <c r="L41" s="4"/>
      <c r="M41" s="4" t="s">
        <v>22</v>
      </c>
    </row>
    <row r="42" spans="1:13" ht="42.75">
      <c r="A42" s="4">
        <v>41</v>
      </c>
      <c r="B42" s="4" t="s">
        <v>146</v>
      </c>
      <c r="C42" s="4" t="s">
        <v>173</v>
      </c>
      <c r="D42" s="4" t="s">
        <v>178</v>
      </c>
      <c r="E42" s="4" t="s">
        <v>32</v>
      </c>
      <c r="F42" s="4" t="s">
        <v>17</v>
      </c>
      <c r="G42" s="4" t="s">
        <v>179</v>
      </c>
      <c r="H42" s="4" t="s">
        <v>180</v>
      </c>
      <c r="I42" s="4" t="s">
        <v>181</v>
      </c>
      <c r="J42" s="4" t="s">
        <v>21</v>
      </c>
      <c r="K42" s="4"/>
      <c r="L42" s="4"/>
      <c r="M42" s="4" t="s">
        <v>22</v>
      </c>
    </row>
    <row r="43" spans="1:13" ht="42.75">
      <c r="A43" s="4">
        <v>42</v>
      </c>
      <c r="B43" s="4" t="s">
        <v>146</v>
      </c>
      <c r="C43" s="4" t="s">
        <v>173</v>
      </c>
      <c r="D43" s="4" t="s">
        <v>182</v>
      </c>
      <c r="E43" s="4" t="s">
        <v>32</v>
      </c>
      <c r="F43" s="4" t="s">
        <v>17</v>
      </c>
      <c r="G43" s="4" t="s">
        <v>183</v>
      </c>
      <c r="H43" s="4" t="s">
        <v>184</v>
      </c>
      <c r="I43" s="4" t="s">
        <v>185</v>
      </c>
      <c r="J43" s="4" t="s">
        <v>21</v>
      </c>
      <c r="K43" s="4"/>
      <c r="L43" s="4"/>
      <c r="M43" s="4" t="s">
        <v>22</v>
      </c>
    </row>
    <row r="44" spans="1:13" ht="42.75">
      <c r="A44" s="4">
        <v>43</v>
      </c>
      <c r="B44" s="4" t="s">
        <v>146</v>
      </c>
      <c r="C44" s="4" t="s">
        <v>173</v>
      </c>
      <c r="D44" s="4" t="s">
        <v>186</v>
      </c>
      <c r="E44" s="4" t="s">
        <v>32</v>
      </c>
      <c r="F44" s="4" t="s">
        <v>17</v>
      </c>
      <c r="G44" s="4" t="s">
        <v>187</v>
      </c>
      <c r="H44" s="4" t="s">
        <v>188</v>
      </c>
      <c r="I44" s="4" t="s">
        <v>189</v>
      </c>
      <c r="J44" s="4" t="s">
        <v>21</v>
      </c>
      <c r="K44" s="4"/>
      <c r="L44" s="4"/>
      <c r="M44" s="4" t="s">
        <v>22</v>
      </c>
    </row>
    <row r="45" spans="1:13" ht="42.75">
      <c r="A45" s="4">
        <v>44</v>
      </c>
      <c r="B45" s="4" t="s">
        <v>146</v>
      </c>
      <c r="C45" s="4" t="s">
        <v>190</v>
      </c>
      <c r="D45" s="4" t="s">
        <v>191</v>
      </c>
      <c r="E45" s="4" t="s">
        <v>192</v>
      </c>
      <c r="F45" s="4" t="s">
        <v>17</v>
      </c>
      <c r="G45" s="4" t="s">
        <v>193</v>
      </c>
      <c r="H45" s="4" t="s">
        <v>194</v>
      </c>
      <c r="I45" s="4" t="s">
        <v>195</v>
      </c>
      <c r="J45" s="4" t="s">
        <v>21</v>
      </c>
      <c r="K45" s="4"/>
      <c r="L45" s="4"/>
      <c r="M45" s="4" t="s">
        <v>22</v>
      </c>
    </row>
    <row r="46" spans="1:13" ht="57">
      <c r="A46" s="4">
        <v>45</v>
      </c>
      <c r="B46" s="4" t="s">
        <v>146</v>
      </c>
      <c r="C46" s="4" t="s">
        <v>196</v>
      </c>
      <c r="D46" s="4" t="s">
        <v>197</v>
      </c>
      <c r="E46" s="4" t="s">
        <v>32</v>
      </c>
      <c r="F46" s="4" t="s">
        <v>17</v>
      </c>
      <c r="G46" s="4" t="s">
        <v>198</v>
      </c>
      <c r="H46" s="4" t="s">
        <v>199</v>
      </c>
      <c r="I46" s="4" t="s">
        <v>200</v>
      </c>
      <c r="J46" s="4" t="s">
        <v>21</v>
      </c>
      <c r="K46" s="4"/>
      <c r="L46" s="4"/>
      <c r="M46" s="4" t="s">
        <v>22</v>
      </c>
    </row>
    <row r="47" spans="1:13" ht="57">
      <c r="A47" s="4">
        <v>46</v>
      </c>
      <c r="B47" s="4" t="s">
        <v>146</v>
      </c>
      <c r="C47" s="4" t="s">
        <v>196</v>
      </c>
      <c r="D47" s="4" t="s">
        <v>201</v>
      </c>
      <c r="E47" s="4" t="s">
        <v>32</v>
      </c>
      <c r="F47" s="4" t="s">
        <v>17</v>
      </c>
      <c r="G47" s="4" t="s">
        <v>202</v>
      </c>
      <c r="H47" s="4" t="s">
        <v>203</v>
      </c>
      <c r="I47" s="4" t="s">
        <v>204</v>
      </c>
      <c r="J47" s="4" t="s">
        <v>21</v>
      </c>
      <c r="K47" s="4"/>
      <c r="L47" s="4"/>
      <c r="M47" s="4" t="s">
        <v>22</v>
      </c>
    </row>
    <row r="48" spans="1:13" ht="42.75">
      <c r="A48" s="4">
        <v>47</v>
      </c>
      <c r="B48" s="4" t="s">
        <v>146</v>
      </c>
      <c r="C48" s="4" t="s">
        <v>196</v>
      </c>
      <c r="D48" s="4" t="s">
        <v>205</v>
      </c>
      <c r="E48" s="4" t="s">
        <v>192</v>
      </c>
      <c r="F48" s="4" t="s">
        <v>17</v>
      </c>
      <c r="G48" s="4" t="s">
        <v>206</v>
      </c>
      <c r="H48" s="4" t="s">
        <v>207</v>
      </c>
      <c r="I48" s="4" t="s">
        <v>208</v>
      </c>
      <c r="J48" s="4" t="s">
        <v>21</v>
      </c>
      <c r="K48" s="4"/>
      <c r="L48" s="4"/>
      <c r="M48" s="4" t="s">
        <v>22</v>
      </c>
    </row>
    <row r="49" spans="1:13" ht="42.75">
      <c r="A49" s="4">
        <v>48</v>
      </c>
      <c r="B49" s="4" t="s">
        <v>209</v>
      </c>
      <c r="C49" s="4" t="s">
        <v>210</v>
      </c>
      <c r="D49" s="4" t="s">
        <v>211</v>
      </c>
      <c r="E49" s="4" t="s">
        <v>16</v>
      </c>
      <c r="F49" s="4" t="s">
        <v>17</v>
      </c>
      <c r="G49" s="4" t="s">
        <v>212</v>
      </c>
      <c r="H49" s="4" t="s">
        <v>213</v>
      </c>
      <c r="I49" s="4" t="s">
        <v>214</v>
      </c>
      <c r="J49" s="4" t="s">
        <v>21</v>
      </c>
      <c r="K49" s="4"/>
      <c r="L49" s="4"/>
      <c r="M49" s="4" t="s">
        <v>22</v>
      </c>
    </row>
    <row r="50" spans="1:13" ht="57">
      <c r="A50" s="4">
        <v>49</v>
      </c>
      <c r="B50" s="4" t="s">
        <v>209</v>
      </c>
      <c r="C50" s="4" t="s">
        <v>215</v>
      </c>
      <c r="D50" s="4" t="s">
        <v>216</v>
      </c>
      <c r="E50" s="4" t="s">
        <v>16</v>
      </c>
      <c r="F50" s="4" t="s">
        <v>17</v>
      </c>
      <c r="G50" s="4" t="s">
        <v>217</v>
      </c>
      <c r="H50" s="4" t="s">
        <v>218</v>
      </c>
      <c r="I50" s="4" t="s">
        <v>219</v>
      </c>
      <c r="J50" s="4" t="s">
        <v>21</v>
      </c>
      <c r="K50" s="4"/>
      <c r="L50" s="4"/>
      <c r="M50" s="4" t="s">
        <v>22</v>
      </c>
    </row>
    <row r="51" spans="1:13" ht="57">
      <c r="A51" s="4">
        <v>50</v>
      </c>
      <c r="B51" s="4" t="s">
        <v>209</v>
      </c>
      <c r="C51" s="4" t="s">
        <v>220</v>
      </c>
      <c r="D51" s="4" t="s">
        <v>221</v>
      </c>
      <c r="E51" s="4" t="s">
        <v>32</v>
      </c>
      <c r="F51" s="4" t="s">
        <v>17</v>
      </c>
      <c r="G51" s="4" t="s">
        <v>222</v>
      </c>
      <c r="H51" s="4" t="s">
        <v>223</v>
      </c>
      <c r="I51" s="4" t="s">
        <v>224</v>
      </c>
      <c r="J51" s="4" t="s">
        <v>21</v>
      </c>
      <c r="K51" s="4"/>
      <c r="L51" s="4"/>
      <c r="M51" s="4" t="s">
        <v>225</v>
      </c>
    </row>
    <row r="52" spans="1:13" ht="57">
      <c r="A52" s="4">
        <v>51</v>
      </c>
      <c r="B52" s="4" t="s">
        <v>209</v>
      </c>
      <c r="C52" s="4" t="s">
        <v>220</v>
      </c>
      <c r="D52" s="4" t="s">
        <v>226</v>
      </c>
      <c r="E52" s="4" t="s">
        <v>16</v>
      </c>
      <c r="F52" s="4" t="s">
        <v>17</v>
      </c>
      <c r="G52" s="4" t="s">
        <v>227</v>
      </c>
      <c r="H52" s="4" t="s">
        <v>228</v>
      </c>
      <c r="I52" s="4" t="s">
        <v>229</v>
      </c>
      <c r="J52" s="4" t="s">
        <v>21</v>
      </c>
      <c r="K52" s="4"/>
      <c r="L52" s="4"/>
      <c r="M52" s="4" t="s">
        <v>230</v>
      </c>
    </row>
    <row r="53" spans="1:13" ht="42.75">
      <c r="A53" s="4">
        <v>52</v>
      </c>
      <c r="B53" s="4" t="s">
        <v>209</v>
      </c>
      <c r="C53" s="4" t="s">
        <v>220</v>
      </c>
      <c r="D53" s="4" t="s">
        <v>231</v>
      </c>
      <c r="E53" s="4" t="s">
        <v>16</v>
      </c>
      <c r="F53" s="4" t="s">
        <v>17</v>
      </c>
      <c r="G53" s="4" t="s">
        <v>232</v>
      </c>
      <c r="H53" s="4" t="s">
        <v>233</v>
      </c>
      <c r="I53" s="4" t="s">
        <v>234</v>
      </c>
      <c r="J53" s="4" t="s">
        <v>21</v>
      </c>
      <c r="K53" s="4"/>
      <c r="L53" s="4"/>
      <c r="M53" s="4" t="s">
        <v>230</v>
      </c>
    </row>
    <row r="54" spans="1:13" ht="28.5">
      <c r="A54" s="4">
        <v>53</v>
      </c>
      <c r="B54" s="4" t="s">
        <v>235</v>
      </c>
      <c r="C54" s="4" t="s">
        <v>236</v>
      </c>
      <c r="D54" s="4" t="s">
        <v>237</v>
      </c>
      <c r="E54" s="4" t="s">
        <v>16</v>
      </c>
      <c r="F54" s="4" t="s">
        <v>17</v>
      </c>
      <c r="G54" s="4" t="s">
        <v>238</v>
      </c>
      <c r="H54" s="4" t="s">
        <v>239</v>
      </c>
      <c r="I54" s="4" t="s">
        <v>240</v>
      </c>
      <c r="J54" s="4" t="s">
        <v>21</v>
      </c>
      <c r="K54" s="4"/>
      <c r="L54" s="4"/>
      <c r="M54" s="4" t="s">
        <v>22</v>
      </c>
    </row>
    <row r="55" spans="1:13" ht="42.75">
      <c r="A55" s="4">
        <v>54</v>
      </c>
      <c r="B55" s="4" t="s">
        <v>235</v>
      </c>
      <c r="C55" s="4" t="s">
        <v>241</v>
      </c>
      <c r="D55" s="4" t="s">
        <v>242</v>
      </c>
      <c r="E55" s="4" t="s">
        <v>16</v>
      </c>
      <c r="F55" s="4" t="s">
        <v>17</v>
      </c>
      <c r="G55" s="4" t="s">
        <v>243</v>
      </c>
      <c r="H55" s="4" t="s">
        <v>244</v>
      </c>
      <c r="I55" s="4" t="s">
        <v>245</v>
      </c>
      <c r="J55" s="4" t="s">
        <v>21</v>
      </c>
      <c r="K55" s="4"/>
      <c r="L55" s="4"/>
      <c r="M55" s="4" t="s">
        <v>22</v>
      </c>
    </row>
    <row r="56" spans="1:13" ht="42.75">
      <c r="A56" s="4">
        <v>55</v>
      </c>
      <c r="B56" s="4" t="s">
        <v>235</v>
      </c>
      <c r="C56" s="4" t="s">
        <v>246</v>
      </c>
      <c r="D56" s="4" t="s">
        <v>247</v>
      </c>
      <c r="E56" s="4" t="s">
        <v>16</v>
      </c>
      <c r="F56" s="4" t="s">
        <v>17</v>
      </c>
      <c r="G56" s="4" t="s">
        <v>248</v>
      </c>
      <c r="H56" s="4" t="s">
        <v>249</v>
      </c>
      <c r="I56" s="4" t="s">
        <v>250</v>
      </c>
      <c r="J56" s="4" t="s">
        <v>21</v>
      </c>
      <c r="K56" s="4"/>
      <c r="L56" s="4"/>
      <c r="M56" s="4" t="s">
        <v>22</v>
      </c>
    </row>
    <row r="57" spans="1:13" ht="28.5">
      <c r="A57" s="4">
        <v>56</v>
      </c>
      <c r="B57" s="4" t="s">
        <v>235</v>
      </c>
      <c r="C57" s="4" t="s">
        <v>251</v>
      </c>
      <c r="D57" s="4" t="s">
        <v>252</v>
      </c>
      <c r="E57" s="4" t="s">
        <v>32</v>
      </c>
      <c r="F57" s="4" t="s">
        <v>17</v>
      </c>
      <c r="G57" s="4" t="s">
        <v>253</v>
      </c>
      <c r="H57" s="4" t="s">
        <v>254</v>
      </c>
      <c r="I57" s="4" t="s">
        <v>255</v>
      </c>
      <c r="J57" s="4" t="s">
        <v>21</v>
      </c>
      <c r="K57" s="4"/>
      <c r="L57" s="4"/>
      <c r="M57" s="4" t="s">
        <v>22</v>
      </c>
    </row>
    <row r="58" spans="1:13" ht="42.75">
      <c r="A58" s="4">
        <v>57</v>
      </c>
      <c r="B58" s="4" t="s">
        <v>256</v>
      </c>
      <c r="C58" s="4" t="s">
        <v>147</v>
      </c>
      <c r="D58" s="4" t="s">
        <v>257</v>
      </c>
      <c r="E58" s="4" t="s">
        <v>16</v>
      </c>
      <c r="F58" s="4" t="s">
        <v>17</v>
      </c>
      <c r="G58" s="4" t="s">
        <v>258</v>
      </c>
      <c r="H58" s="4" t="s">
        <v>259</v>
      </c>
      <c r="I58" s="4" t="s">
        <v>260</v>
      </c>
      <c r="J58" s="4" t="s">
        <v>21</v>
      </c>
      <c r="K58" s="4"/>
      <c r="L58" s="4"/>
      <c r="M58" s="4" t="s">
        <v>22</v>
      </c>
    </row>
    <row r="59" spans="1:13" ht="42.75">
      <c r="A59" s="4">
        <v>58</v>
      </c>
      <c r="B59" s="4" t="s">
        <v>256</v>
      </c>
      <c r="C59" s="4" t="s">
        <v>101</v>
      </c>
      <c r="D59" s="4" t="s">
        <v>261</v>
      </c>
      <c r="E59" s="4" t="s">
        <v>32</v>
      </c>
      <c r="F59" s="4" t="s">
        <v>17</v>
      </c>
      <c r="G59" s="4" t="s">
        <v>258</v>
      </c>
      <c r="H59" s="4" t="s">
        <v>262</v>
      </c>
      <c r="I59" s="4" t="s">
        <v>263</v>
      </c>
      <c r="J59" s="4" t="s">
        <v>21</v>
      </c>
      <c r="K59" s="4"/>
      <c r="L59" s="4"/>
      <c r="M59" s="4" t="s">
        <v>22</v>
      </c>
    </row>
    <row r="60" spans="1:13" ht="42.75">
      <c r="A60" s="4">
        <v>59</v>
      </c>
      <c r="B60" s="4" t="s">
        <v>256</v>
      </c>
      <c r="C60" s="4" t="s">
        <v>264</v>
      </c>
      <c r="D60" s="4" t="s">
        <v>265</v>
      </c>
      <c r="E60" s="4" t="s">
        <v>16</v>
      </c>
      <c r="F60" s="4" t="s">
        <v>17</v>
      </c>
      <c r="G60" s="4" t="s">
        <v>258</v>
      </c>
      <c r="H60" s="4" t="s">
        <v>266</v>
      </c>
      <c r="I60" s="4" t="s">
        <v>267</v>
      </c>
      <c r="J60" s="4" t="s">
        <v>21</v>
      </c>
      <c r="K60" s="4"/>
      <c r="L60" s="4"/>
      <c r="M60" s="4" t="s">
        <v>22</v>
      </c>
    </row>
    <row r="61" spans="1:13" ht="42.75">
      <c r="A61" s="4">
        <v>60</v>
      </c>
      <c r="B61" s="4" t="s">
        <v>256</v>
      </c>
      <c r="C61" s="4" t="s">
        <v>137</v>
      </c>
      <c r="D61" s="4" t="s">
        <v>268</v>
      </c>
      <c r="E61" s="4" t="s">
        <v>32</v>
      </c>
      <c r="F61" s="4" t="s">
        <v>17</v>
      </c>
      <c r="G61" s="4" t="s">
        <v>258</v>
      </c>
      <c r="H61" s="4" t="s">
        <v>269</v>
      </c>
      <c r="I61" s="4" t="s">
        <v>270</v>
      </c>
      <c r="J61" s="4" t="s">
        <v>21</v>
      </c>
      <c r="K61" s="4"/>
      <c r="L61" s="4"/>
      <c r="M61" s="4" t="s">
        <v>22</v>
      </c>
    </row>
    <row r="62" spans="1:13" ht="42.75">
      <c r="A62" s="4">
        <v>61</v>
      </c>
      <c r="B62" s="4" t="s">
        <v>256</v>
      </c>
      <c r="C62" s="4" t="s">
        <v>271</v>
      </c>
      <c r="D62" s="4" t="s">
        <v>272</v>
      </c>
      <c r="E62" s="4" t="s">
        <v>32</v>
      </c>
      <c r="F62" s="4" t="s">
        <v>17</v>
      </c>
      <c r="G62" s="4" t="s">
        <v>258</v>
      </c>
      <c r="H62" s="4" t="s">
        <v>273</v>
      </c>
      <c r="I62" s="4" t="s">
        <v>274</v>
      </c>
      <c r="J62" s="4" t="s">
        <v>21</v>
      </c>
      <c r="K62" s="4"/>
      <c r="L62" s="4"/>
      <c r="M62" s="4" t="s">
        <v>22</v>
      </c>
    </row>
    <row r="63" spans="1:13" ht="42.75">
      <c r="A63" s="4">
        <v>62</v>
      </c>
      <c r="B63" s="4" t="s">
        <v>256</v>
      </c>
      <c r="C63" s="4" t="s">
        <v>215</v>
      </c>
      <c r="D63" s="4" t="s">
        <v>275</v>
      </c>
      <c r="E63" s="4" t="s">
        <v>16</v>
      </c>
      <c r="F63" s="4" t="s">
        <v>17</v>
      </c>
      <c r="G63" s="4" t="s">
        <v>258</v>
      </c>
      <c r="H63" s="4" t="s">
        <v>276</v>
      </c>
      <c r="I63" s="4" t="s">
        <v>277</v>
      </c>
      <c r="J63" s="4" t="s">
        <v>21</v>
      </c>
      <c r="K63" s="4"/>
      <c r="L63" s="4"/>
      <c r="M63" s="4" t="s">
        <v>22</v>
      </c>
    </row>
    <row r="64" spans="1:13" ht="42.75">
      <c r="A64" s="4">
        <v>63</v>
      </c>
      <c r="B64" s="4" t="s">
        <v>256</v>
      </c>
      <c r="C64" s="4" t="s">
        <v>168</v>
      </c>
      <c r="D64" s="4" t="s">
        <v>278</v>
      </c>
      <c r="E64" s="4" t="s">
        <v>32</v>
      </c>
      <c r="F64" s="4" t="s">
        <v>17</v>
      </c>
      <c r="G64" s="4" t="s">
        <v>258</v>
      </c>
      <c r="H64" s="4" t="s">
        <v>279</v>
      </c>
      <c r="I64" s="4" t="s">
        <v>280</v>
      </c>
      <c r="J64" s="4" t="s">
        <v>21</v>
      </c>
      <c r="K64" s="4"/>
      <c r="L64" s="4"/>
      <c r="M64" s="4" t="s">
        <v>22</v>
      </c>
    </row>
    <row r="65" spans="1:13" ht="57">
      <c r="A65" s="4">
        <v>64</v>
      </c>
      <c r="B65" s="4" t="s">
        <v>256</v>
      </c>
      <c r="C65" s="4" t="s">
        <v>147</v>
      </c>
      <c r="D65" s="4" t="s">
        <v>281</v>
      </c>
      <c r="E65" s="4" t="s">
        <v>16</v>
      </c>
      <c r="F65" s="4" t="s">
        <v>17</v>
      </c>
      <c r="G65" s="4" t="s">
        <v>258</v>
      </c>
      <c r="H65" s="4" t="s">
        <v>282</v>
      </c>
      <c r="I65" s="4" t="s">
        <v>283</v>
      </c>
      <c r="J65" s="4" t="s">
        <v>21</v>
      </c>
      <c r="K65" s="4"/>
      <c r="L65" s="4"/>
      <c r="M65" s="4" t="s">
        <v>22</v>
      </c>
    </row>
    <row r="66" spans="1:13" ht="57">
      <c r="A66" s="4">
        <v>65</v>
      </c>
      <c r="B66" s="4" t="s">
        <v>256</v>
      </c>
      <c r="C66" s="4" t="s">
        <v>101</v>
      </c>
      <c r="D66" s="4" t="s">
        <v>284</v>
      </c>
      <c r="E66" s="4" t="s">
        <v>32</v>
      </c>
      <c r="F66" s="4" t="s">
        <v>17</v>
      </c>
      <c r="G66" s="4" t="s">
        <v>258</v>
      </c>
      <c r="H66" s="4" t="s">
        <v>285</v>
      </c>
      <c r="I66" s="4" t="s">
        <v>286</v>
      </c>
      <c r="J66" s="4" t="s">
        <v>21</v>
      </c>
      <c r="K66" s="4"/>
      <c r="L66" s="4"/>
      <c r="M66" s="4" t="s">
        <v>22</v>
      </c>
    </row>
    <row r="67" spans="1:13" ht="57">
      <c r="A67" s="4">
        <v>66</v>
      </c>
      <c r="B67" s="4" t="s">
        <v>256</v>
      </c>
      <c r="C67" s="4" t="s">
        <v>264</v>
      </c>
      <c r="D67" s="4" t="s">
        <v>287</v>
      </c>
      <c r="E67" s="4" t="s">
        <v>16</v>
      </c>
      <c r="F67" s="4" t="s">
        <v>17</v>
      </c>
      <c r="G67" s="4" t="s">
        <v>258</v>
      </c>
      <c r="H67" s="4" t="s">
        <v>288</v>
      </c>
      <c r="I67" s="4" t="s">
        <v>289</v>
      </c>
      <c r="J67" s="4" t="s">
        <v>21</v>
      </c>
      <c r="K67" s="4"/>
      <c r="L67" s="4"/>
      <c r="M67" s="4" t="s">
        <v>22</v>
      </c>
    </row>
    <row r="68" spans="1:13" ht="57">
      <c r="A68" s="4">
        <v>67</v>
      </c>
      <c r="B68" s="4" t="s">
        <v>256</v>
      </c>
      <c r="C68" s="4" t="s">
        <v>137</v>
      </c>
      <c r="D68" s="4" t="s">
        <v>290</v>
      </c>
      <c r="E68" s="4" t="s">
        <v>32</v>
      </c>
      <c r="F68" s="4" t="s">
        <v>17</v>
      </c>
      <c r="G68" s="4" t="s">
        <v>258</v>
      </c>
      <c r="H68" s="4" t="s">
        <v>291</v>
      </c>
      <c r="I68" s="4" t="s">
        <v>292</v>
      </c>
      <c r="J68" s="4" t="s">
        <v>21</v>
      </c>
      <c r="K68" s="4"/>
      <c r="L68" s="4"/>
      <c r="M68" s="4" t="s">
        <v>22</v>
      </c>
    </row>
    <row r="69" spans="1:13" ht="57">
      <c r="A69" s="4">
        <v>68</v>
      </c>
      <c r="B69" s="4" t="s">
        <v>256</v>
      </c>
      <c r="C69" s="4" t="s">
        <v>271</v>
      </c>
      <c r="D69" s="4" t="s">
        <v>293</v>
      </c>
      <c r="E69" s="4" t="s">
        <v>32</v>
      </c>
      <c r="F69" s="4" t="s">
        <v>17</v>
      </c>
      <c r="G69" s="4" t="s">
        <v>258</v>
      </c>
      <c r="H69" s="4" t="s">
        <v>294</v>
      </c>
      <c r="I69" s="4" t="s">
        <v>295</v>
      </c>
      <c r="J69" s="4" t="s">
        <v>21</v>
      </c>
      <c r="K69" s="4"/>
      <c r="L69" s="4"/>
      <c r="M69" s="4" t="s">
        <v>22</v>
      </c>
    </row>
    <row r="70" spans="1:13" ht="57">
      <c r="A70" s="4">
        <v>69</v>
      </c>
      <c r="B70" s="4" t="s">
        <v>256</v>
      </c>
      <c r="C70" s="4" t="s">
        <v>215</v>
      </c>
      <c r="D70" s="4" t="s">
        <v>296</v>
      </c>
      <c r="E70" s="4" t="s">
        <v>16</v>
      </c>
      <c r="F70" s="4" t="s">
        <v>17</v>
      </c>
      <c r="G70" s="4" t="s">
        <v>258</v>
      </c>
      <c r="H70" s="4" t="s">
        <v>297</v>
      </c>
      <c r="I70" s="4" t="s">
        <v>298</v>
      </c>
      <c r="J70" s="4" t="s">
        <v>21</v>
      </c>
      <c r="K70" s="4"/>
      <c r="L70" s="4"/>
      <c r="M70" s="4" t="s">
        <v>22</v>
      </c>
    </row>
    <row r="71" spans="1:13" ht="57">
      <c r="A71" s="4">
        <v>70</v>
      </c>
      <c r="B71" s="4" t="s">
        <v>256</v>
      </c>
      <c r="C71" s="4" t="s">
        <v>168</v>
      </c>
      <c r="D71" s="4" t="s">
        <v>299</v>
      </c>
      <c r="E71" s="4" t="s">
        <v>32</v>
      </c>
      <c r="F71" s="4" t="s">
        <v>17</v>
      </c>
      <c r="G71" s="4" t="s">
        <v>258</v>
      </c>
      <c r="H71" s="4" t="s">
        <v>300</v>
      </c>
      <c r="I71" s="4" t="s">
        <v>301</v>
      </c>
      <c r="J71" s="4" t="s">
        <v>21</v>
      </c>
      <c r="K71" s="4"/>
      <c r="L71" s="4"/>
      <c r="M71" s="4" t="s">
        <v>22</v>
      </c>
    </row>
    <row r="72" spans="1:13" ht="42.75">
      <c r="A72" s="4">
        <v>71</v>
      </c>
      <c r="B72" s="4" t="s">
        <v>302</v>
      </c>
      <c r="C72" s="4" t="s">
        <v>303</v>
      </c>
      <c r="D72" s="4" t="s">
        <v>304</v>
      </c>
      <c r="E72" s="4" t="s">
        <v>32</v>
      </c>
      <c r="F72" s="4" t="s">
        <v>305</v>
      </c>
      <c r="G72" s="4" t="s">
        <v>306</v>
      </c>
      <c r="H72" s="4" t="s">
        <v>307</v>
      </c>
      <c r="I72" s="4" t="s">
        <v>308</v>
      </c>
      <c r="J72" s="4" t="s">
        <v>21</v>
      </c>
      <c r="K72" s="4"/>
      <c r="L72" s="4"/>
      <c r="M72" s="4" t="s">
        <v>309</v>
      </c>
    </row>
    <row r="73" spans="1:13" ht="15">
      <c r="A73" s="4">
        <v>72</v>
      </c>
      <c r="B73" s="4" t="s">
        <v>302</v>
      </c>
      <c r="C73" s="4" t="s">
        <v>303</v>
      </c>
      <c r="D73" s="4" t="s">
        <v>310</v>
      </c>
      <c r="E73" s="4" t="s">
        <v>16</v>
      </c>
      <c r="F73" s="4" t="s">
        <v>17</v>
      </c>
      <c r="G73" s="4" t="s">
        <v>311</v>
      </c>
      <c r="H73" s="4" t="s">
        <v>312</v>
      </c>
      <c r="I73" s="4" t="s">
        <v>313</v>
      </c>
      <c r="J73" s="4" t="s">
        <v>21</v>
      </c>
      <c r="K73" s="4"/>
      <c r="L73" s="4"/>
      <c r="M73" s="4" t="s">
        <v>22</v>
      </c>
    </row>
    <row r="74" spans="1:13" ht="28.5">
      <c r="A74" s="4">
        <v>73</v>
      </c>
      <c r="B74" s="4" t="s">
        <v>302</v>
      </c>
      <c r="C74" s="4" t="s">
        <v>303</v>
      </c>
      <c r="D74" s="4" t="s">
        <v>314</v>
      </c>
      <c r="E74" s="4" t="s">
        <v>32</v>
      </c>
      <c r="F74" s="4" t="s">
        <v>17</v>
      </c>
      <c r="G74" s="4" t="s">
        <v>311</v>
      </c>
      <c r="H74" s="4" t="s">
        <v>315</v>
      </c>
      <c r="I74" s="4" t="s">
        <v>316</v>
      </c>
      <c r="J74" s="4" t="s">
        <v>21</v>
      </c>
      <c r="K74" s="4"/>
      <c r="L74" s="4"/>
      <c r="M74" s="4" t="s">
        <v>22</v>
      </c>
    </row>
    <row r="75" spans="1:13" ht="28.5">
      <c r="A75" s="4">
        <v>74</v>
      </c>
      <c r="B75" s="4" t="s">
        <v>302</v>
      </c>
      <c r="C75" s="4" t="s">
        <v>317</v>
      </c>
      <c r="D75" s="4" t="s">
        <v>318</v>
      </c>
      <c r="E75" s="4" t="s">
        <v>16</v>
      </c>
      <c r="F75" s="4" t="s">
        <v>17</v>
      </c>
      <c r="G75" s="4" t="s">
        <v>319</v>
      </c>
      <c r="H75" s="4" t="s">
        <v>320</v>
      </c>
      <c r="I75" s="4" t="s">
        <v>321</v>
      </c>
      <c r="J75" s="4" t="s">
        <v>21</v>
      </c>
      <c r="K75" s="4"/>
      <c r="L75" s="4"/>
      <c r="M75" s="4" t="s">
        <v>22</v>
      </c>
    </row>
    <row r="76" spans="1:13" ht="42.75">
      <c r="A76" s="4">
        <v>75</v>
      </c>
      <c r="B76" s="4" t="s">
        <v>302</v>
      </c>
      <c r="C76" s="4" t="s">
        <v>317</v>
      </c>
      <c r="D76" s="4" t="s">
        <v>322</v>
      </c>
      <c r="E76" s="4" t="s">
        <v>16</v>
      </c>
      <c r="F76" s="4" t="s">
        <v>17</v>
      </c>
      <c r="G76" s="4" t="s">
        <v>323</v>
      </c>
      <c r="H76" s="4" t="s">
        <v>324</v>
      </c>
      <c r="I76" s="4" t="s">
        <v>325</v>
      </c>
      <c r="J76" s="4" t="s">
        <v>21</v>
      </c>
      <c r="K76" s="4"/>
      <c r="L76" s="4"/>
      <c r="M76" s="4" t="s">
        <v>22</v>
      </c>
    </row>
    <row r="77" spans="1:13" ht="42.75">
      <c r="A77" s="4">
        <v>76</v>
      </c>
      <c r="B77" s="4" t="s">
        <v>302</v>
      </c>
      <c r="C77" s="4" t="s">
        <v>317</v>
      </c>
      <c r="D77" s="4" t="s">
        <v>326</v>
      </c>
      <c r="E77" s="4" t="s">
        <v>16</v>
      </c>
      <c r="F77" s="4" t="s">
        <v>17</v>
      </c>
      <c r="G77" s="4" t="s">
        <v>327</v>
      </c>
      <c r="H77" s="4" t="s">
        <v>328</v>
      </c>
      <c r="I77" s="4" t="s">
        <v>329</v>
      </c>
      <c r="J77" s="4" t="s">
        <v>21</v>
      </c>
      <c r="K77" s="4"/>
      <c r="L77" s="4"/>
      <c r="M77" s="4" t="s">
        <v>22</v>
      </c>
    </row>
    <row r="78" spans="1:13" ht="28.5">
      <c r="A78" s="4">
        <v>77</v>
      </c>
      <c r="B78" s="4" t="s">
        <v>330</v>
      </c>
      <c r="C78" s="4" t="s">
        <v>50</v>
      </c>
      <c r="D78" s="4" t="s">
        <v>331</v>
      </c>
      <c r="E78" s="4" t="s">
        <v>16</v>
      </c>
      <c r="F78" s="4" t="s">
        <v>17</v>
      </c>
      <c r="G78" s="4" t="s">
        <v>332</v>
      </c>
      <c r="H78" s="4" t="s">
        <v>333</v>
      </c>
      <c r="I78" s="4" t="s">
        <v>334</v>
      </c>
      <c r="J78" s="4" t="s">
        <v>21</v>
      </c>
      <c r="K78" s="4"/>
      <c r="L78" s="4"/>
      <c r="M78" s="4" t="s">
        <v>22</v>
      </c>
    </row>
    <row r="79" spans="1:13" ht="42.75">
      <c r="A79" s="4">
        <v>78</v>
      </c>
      <c r="B79" s="4" t="s">
        <v>330</v>
      </c>
      <c r="C79" s="4" t="s">
        <v>50</v>
      </c>
      <c r="D79" s="4" t="s">
        <v>335</v>
      </c>
      <c r="E79" s="4" t="s">
        <v>16</v>
      </c>
      <c r="F79" s="4" t="s">
        <v>17</v>
      </c>
      <c r="G79" s="4" t="s">
        <v>336</v>
      </c>
      <c r="H79" s="4" t="s">
        <v>337</v>
      </c>
      <c r="I79" s="4" t="s">
        <v>338</v>
      </c>
      <c r="J79" s="4" t="s">
        <v>21</v>
      </c>
      <c r="K79" s="4"/>
      <c r="L79" s="4"/>
      <c r="M79" s="4" t="s">
        <v>22</v>
      </c>
    </row>
    <row r="80" spans="1:13" ht="57">
      <c r="A80" s="4">
        <v>79</v>
      </c>
      <c r="B80" s="4" t="s">
        <v>330</v>
      </c>
      <c r="C80" s="4" t="s">
        <v>50</v>
      </c>
      <c r="D80" s="4" t="s">
        <v>339</v>
      </c>
      <c r="E80" s="4" t="s">
        <v>16</v>
      </c>
      <c r="F80" s="4" t="s">
        <v>305</v>
      </c>
      <c r="G80" s="4" t="s">
        <v>340</v>
      </c>
      <c r="H80" s="4" t="s">
        <v>341</v>
      </c>
      <c r="I80" s="4" t="s">
        <v>342</v>
      </c>
      <c r="J80" s="4" t="s">
        <v>21</v>
      </c>
      <c r="K80" s="4"/>
      <c r="L80" s="4"/>
      <c r="M80" s="4" t="s">
        <v>343</v>
      </c>
    </row>
    <row r="81" spans="1:13" ht="42.75">
      <c r="A81" s="4">
        <v>80</v>
      </c>
      <c r="B81" s="4" t="s">
        <v>330</v>
      </c>
      <c r="C81" s="4" t="s">
        <v>50</v>
      </c>
      <c r="D81" s="4" t="s">
        <v>344</v>
      </c>
      <c r="E81" s="4" t="s">
        <v>16</v>
      </c>
      <c r="F81" s="4" t="s">
        <v>17</v>
      </c>
      <c r="G81" s="4" t="s">
        <v>332</v>
      </c>
      <c r="H81" s="4" t="s">
        <v>345</v>
      </c>
      <c r="I81" s="4" t="s">
        <v>346</v>
      </c>
      <c r="J81" s="4" t="s">
        <v>21</v>
      </c>
      <c r="K81" s="4"/>
      <c r="L81" s="4"/>
      <c r="M81" s="4" t="s">
        <v>22</v>
      </c>
    </row>
    <row r="82" spans="1:13" ht="28.5">
      <c r="A82" s="4">
        <v>81</v>
      </c>
      <c r="B82" s="4" t="s">
        <v>330</v>
      </c>
      <c r="C82" s="4" t="s">
        <v>50</v>
      </c>
      <c r="D82" s="4" t="s">
        <v>347</v>
      </c>
      <c r="E82" s="4" t="s">
        <v>16</v>
      </c>
      <c r="F82" s="4" t="s">
        <v>17</v>
      </c>
      <c r="G82" s="4" t="s">
        <v>24</v>
      </c>
      <c r="H82" s="4" t="s">
        <v>348</v>
      </c>
      <c r="I82" s="4" t="s">
        <v>349</v>
      </c>
      <c r="J82" s="4" t="s">
        <v>21</v>
      </c>
      <c r="K82" s="4"/>
      <c r="L82" s="4"/>
      <c r="M82" s="4" t="s">
        <v>22</v>
      </c>
    </row>
    <row r="83" spans="1:13" ht="42.75">
      <c r="A83" s="4">
        <v>82</v>
      </c>
      <c r="B83" s="4" t="s">
        <v>330</v>
      </c>
      <c r="C83" s="4" t="s">
        <v>50</v>
      </c>
      <c r="D83" s="4" t="s">
        <v>350</v>
      </c>
      <c r="E83" s="4" t="s">
        <v>16</v>
      </c>
      <c r="F83" s="4" t="s">
        <v>17</v>
      </c>
      <c r="G83" s="4" t="s">
        <v>351</v>
      </c>
      <c r="H83" s="4" t="s">
        <v>352</v>
      </c>
      <c r="I83" s="4" t="s">
        <v>353</v>
      </c>
      <c r="J83" s="4" t="s">
        <v>21</v>
      </c>
      <c r="K83" s="4"/>
      <c r="L83" s="4"/>
      <c r="M83" s="4" t="s">
        <v>354</v>
      </c>
    </row>
    <row r="84" spans="1:13" ht="71.25">
      <c r="A84" s="4">
        <v>83</v>
      </c>
      <c r="B84" s="4" t="s">
        <v>355</v>
      </c>
      <c r="C84" s="4" t="s">
        <v>356</v>
      </c>
      <c r="D84" s="4" t="s">
        <v>357</v>
      </c>
      <c r="E84" s="4" t="s">
        <v>16</v>
      </c>
      <c r="F84" s="4" t="s">
        <v>358</v>
      </c>
      <c r="G84" s="4" t="s">
        <v>359</v>
      </c>
      <c r="H84" s="4" t="s">
        <v>360</v>
      </c>
      <c r="I84" s="4" t="s">
        <v>361</v>
      </c>
      <c r="J84" s="4" t="s">
        <v>21</v>
      </c>
      <c r="K84" s="4"/>
      <c r="L84" s="4"/>
      <c r="M84" s="4" t="s">
        <v>22</v>
      </c>
    </row>
    <row r="85" spans="1:13" ht="42.75">
      <c r="A85" s="4">
        <v>84</v>
      </c>
      <c r="B85" s="4" t="s">
        <v>355</v>
      </c>
      <c r="C85" s="4" t="s">
        <v>362</v>
      </c>
      <c r="D85" s="4" t="s">
        <v>363</v>
      </c>
      <c r="E85" s="4" t="s">
        <v>32</v>
      </c>
      <c r="F85" s="4" t="s">
        <v>358</v>
      </c>
      <c r="G85" s="4" t="s">
        <v>364</v>
      </c>
      <c r="H85" s="4" t="s">
        <v>365</v>
      </c>
      <c r="I85" s="4" t="s">
        <v>366</v>
      </c>
      <c r="J85" s="4" t="s">
        <v>21</v>
      </c>
      <c r="K85" s="4"/>
      <c r="L85" s="4"/>
      <c r="M85" s="4" t="s">
        <v>22</v>
      </c>
    </row>
    <row r="86" spans="1:13" ht="28.5">
      <c r="A86" s="4">
        <v>85</v>
      </c>
      <c r="B86" s="4" t="s">
        <v>355</v>
      </c>
      <c r="C86" s="4" t="s">
        <v>367</v>
      </c>
      <c r="D86" s="4" t="s">
        <v>368</v>
      </c>
      <c r="E86" s="4" t="s">
        <v>16</v>
      </c>
      <c r="F86" s="4" t="s">
        <v>358</v>
      </c>
      <c r="G86" s="4" t="s">
        <v>364</v>
      </c>
      <c r="H86" s="4" t="s">
        <v>369</v>
      </c>
      <c r="I86" s="4" t="s">
        <v>370</v>
      </c>
      <c r="J86" s="4" t="s">
        <v>21</v>
      </c>
      <c r="K86" s="4"/>
      <c r="L86" s="4"/>
      <c r="M86" s="4" t="s">
        <v>22</v>
      </c>
    </row>
    <row r="87" spans="1:13" ht="71.25">
      <c r="A87" s="4">
        <v>86</v>
      </c>
      <c r="B87" s="4" t="s">
        <v>355</v>
      </c>
      <c r="C87" s="4" t="s">
        <v>356</v>
      </c>
      <c r="D87" s="4" t="s">
        <v>371</v>
      </c>
      <c r="E87" s="4" t="s">
        <v>16</v>
      </c>
      <c r="F87" s="4" t="s">
        <v>372</v>
      </c>
      <c r="G87" s="4" t="s">
        <v>359</v>
      </c>
      <c r="H87" s="4" t="s">
        <v>360</v>
      </c>
      <c r="I87" s="4" t="s">
        <v>361</v>
      </c>
      <c r="J87" s="4" t="s">
        <v>21</v>
      </c>
      <c r="K87" s="4"/>
      <c r="L87" s="4"/>
      <c r="M87" s="4" t="s">
        <v>22</v>
      </c>
    </row>
    <row r="88" spans="1:13" ht="42.75">
      <c r="A88" s="4">
        <v>87</v>
      </c>
      <c r="B88" s="4" t="s">
        <v>355</v>
      </c>
      <c r="C88" s="4" t="s">
        <v>362</v>
      </c>
      <c r="D88" s="4" t="s">
        <v>373</v>
      </c>
      <c r="E88" s="4" t="s">
        <v>32</v>
      </c>
      <c r="F88" s="4" t="s">
        <v>372</v>
      </c>
      <c r="G88" s="4" t="s">
        <v>364</v>
      </c>
      <c r="H88" s="4" t="s">
        <v>365</v>
      </c>
      <c r="I88" s="4" t="s">
        <v>366</v>
      </c>
      <c r="J88" s="4" t="s">
        <v>21</v>
      </c>
      <c r="K88" s="4"/>
      <c r="L88" s="4"/>
      <c r="M88" s="4" t="s">
        <v>22</v>
      </c>
    </row>
    <row r="89" spans="1:13" ht="28.5">
      <c r="A89" s="4">
        <v>88</v>
      </c>
      <c r="B89" s="4" t="s">
        <v>355</v>
      </c>
      <c r="C89" s="4" t="s">
        <v>367</v>
      </c>
      <c r="D89" s="4" t="s">
        <v>374</v>
      </c>
      <c r="E89" s="4" t="s">
        <v>16</v>
      </c>
      <c r="F89" s="4" t="s">
        <v>372</v>
      </c>
      <c r="G89" s="4" t="s">
        <v>364</v>
      </c>
      <c r="H89" s="4" t="s">
        <v>369</v>
      </c>
      <c r="I89" s="4" t="s">
        <v>370</v>
      </c>
      <c r="J89" s="4" t="s">
        <v>21</v>
      </c>
      <c r="K89" s="4"/>
      <c r="L89" s="4"/>
      <c r="M89" s="4" t="s">
        <v>22</v>
      </c>
    </row>
    <row r="90" spans="1:13" ht="71.25">
      <c r="A90" s="4">
        <v>89</v>
      </c>
      <c r="B90" s="4" t="s">
        <v>355</v>
      </c>
      <c r="C90" s="4" t="s">
        <v>356</v>
      </c>
      <c r="D90" s="4" t="s">
        <v>375</v>
      </c>
      <c r="E90" s="4" t="s">
        <v>16</v>
      </c>
      <c r="F90" s="4" t="s">
        <v>376</v>
      </c>
      <c r="G90" s="4" t="s">
        <v>359</v>
      </c>
      <c r="H90" s="4" t="s">
        <v>360</v>
      </c>
      <c r="I90" s="4" t="s">
        <v>361</v>
      </c>
      <c r="J90" s="4" t="s">
        <v>21</v>
      </c>
      <c r="K90" s="4"/>
      <c r="L90" s="4"/>
      <c r="M90" s="4" t="s">
        <v>22</v>
      </c>
    </row>
    <row r="91" spans="1:13" ht="42.75">
      <c r="A91" s="4">
        <v>90</v>
      </c>
      <c r="B91" s="4" t="s">
        <v>355</v>
      </c>
      <c r="C91" s="4" t="s">
        <v>362</v>
      </c>
      <c r="D91" s="4" t="s">
        <v>377</v>
      </c>
      <c r="E91" s="4" t="s">
        <v>32</v>
      </c>
      <c r="F91" s="4" t="s">
        <v>376</v>
      </c>
      <c r="G91" s="4" t="s">
        <v>364</v>
      </c>
      <c r="H91" s="4" t="s">
        <v>365</v>
      </c>
      <c r="I91" s="4" t="s">
        <v>366</v>
      </c>
      <c r="J91" s="4" t="s">
        <v>21</v>
      </c>
      <c r="K91" s="4"/>
      <c r="L91" s="4"/>
      <c r="M91" s="4" t="s">
        <v>22</v>
      </c>
    </row>
    <row r="92" spans="1:13" ht="28.5">
      <c r="A92" s="4">
        <v>91</v>
      </c>
      <c r="B92" s="4" t="s">
        <v>355</v>
      </c>
      <c r="C92" s="4" t="s">
        <v>367</v>
      </c>
      <c r="D92" s="4" t="s">
        <v>378</v>
      </c>
      <c r="E92" s="4" t="s">
        <v>16</v>
      </c>
      <c r="F92" s="4" t="s">
        <v>376</v>
      </c>
      <c r="G92" s="4" t="s">
        <v>364</v>
      </c>
      <c r="H92" s="4" t="s">
        <v>369</v>
      </c>
      <c r="I92" s="4" t="s">
        <v>370</v>
      </c>
      <c r="J92" s="4" t="s">
        <v>21</v>
      </c>
      <c r="K92" s="4"/>
      <c r="L92" s="4"/>
      <c r="M92" s="4" t="s">
        <v>22</v>
      </c>
    </row>
    <row r="93" spans="1:13" ht="42.75">
      <c r="A93" s="4">
        <v>92</v>
      </c>
      <c r="B93" s="4" t="s">
        <v>379</v>
      </c>
      <c r="C93" s="4" t="s">
        <v>380</v>
      </c>
      <c r="D93" s="4" t="s">
        <v>381</v>
      </c>
      <c r="E93" s="4" t="s">
        <v>16</v>
      </c>
      <c r="F93" s="4" t="s">
        <v>305</v>
      </c>
      <c r="G93" s="4" t="s">
        <v>382</v>
      </c>
      <c r="H93" s="4" t="s">
        <v>383</v>
      </c>
      <c r="I93" s="4" t="s">
        <v>384</v>
      </c>
      <c r="J93" s="4" t="s">
        <v>21</v>
      </c>
      <c r="K93" s="4"/>
      <c r="L93" s="4"/>
      <c r="M93" s="4" t="s">
        <v>380</v>
      </c>
    </row>
    <row r="94" spans="1:13" ht="42.75">
      <c r="A94" s="4">
        <v>93</v>
      </c>
      <c r="B94" s="4" t="s">
        <v>379</v>
      </c>
      <c r="C94" s="4" t="s">
        <v>380</v>
      </c>
      <c r="D94" s="4" t="s">
        <v>385</v>
      </c>
      <c r="E94" s="4" t="s">
        <v>16</v>
      </c>
      <c r="F94" s="4" t="s">
        <v>305</v>
      </c>
      <c r="G94" s="4" t="s">
        <v>382</v>
      </c>
      <c r="H94" s="4" t="s">
        <v>386</v>
      </c>
      <c r="I94" s="4" t="s">
        <v>387</v>
      </c>
      <c r="J94" s="4" t="s">
        <v>21</v>
      </c>
      <c r="K94" s="4"/>
      <c r="L94" s="4"/>
      <c r="M94" s="4" t="s">
        <v>380</v>
      </c>
    </row>
    <row r="95" spans="1:13" ht="42.75">
      <c r="A95" s="4">
        <v>94</v>
      </c>
      <c r="B95" s="4" t="s">
        <v>379</v>
      </c>
      <c r="C95" s="4" t="s">
        <v>380</v>
      </c>
      <c r="D95" s="4" t="s">
        <v>388</v>
      </c>
      <c r="E95" s="4" t="s">
        <v>32</v>
      </c>
      <c r="F95" s="4" t="s">
        <v>17</v>
      </c>
      <c r="G95" s="4" t="s">
        <v>389</v>
      </c>
      <c r="H95" s="4" t="s">
        <v>390</v>
      </c>
      <c r="I95" s="4" t="s">
        <v>391</v>
      </c>
      <c r="J95" s="4" t="s">
        <v>21</v>
      </c>
      <c r="K95" s="4"/>
      <c r="L95" s="4"/>
      <c r="M95" s="4" t="s">
        <v>22</v>
      </c>
    </row>
    <row r="96" spans="1:13" ht="28.5">
      <c r="A96" s="4">
        <v>95</v>
      </c>
      <c r="B96" s="4" t="s">
        <v>379</v>
      </c>
      <c r="C96" s="4" t="s">
        <v>392</v>
      </c>
      <c r="D96" s="4" t="s">
        <v>393</v>
      </c>
      <c r="E96" s="4" t="s">
        <v>16</v>
      </c>
      <c r="F96" s="4" t="s">
        <v>17</v>
      </c>
      <c r="G96" s="4" t="s">
        <v>382</v>
      </c>
      <c r="H96" s="4" t="s">
        <v>394</v>
      </c>
      <c r="I96" s="4" t="s">
        <v>395</v>
      </c>
      <c r="J96" s="4" t="s">
        <v>21</v>
      </c>
      <c r="K96" s="4"/>
      <c r="L96" s="4"/>
      <c r="M96" s="4" t="s">
        <v>22</v>
      </c>
    </row>
  </sheetData>
  <conditionalFormatting sqref="E2:E96">
    <cfRule type="expression" dxfId="6" priority="5">
      <formula>E2="Critical"</formula>
    </cfRule>
  </conditionalFormatting>
  <conditionalFormatting sqref="J2:J96">
    <cfRule type="expression" dxfId="5" priority="1">
      <formula>J2="Pass"</formula>
    </cfRule>
    <cfRule type="expression" dxfId="4" priority="2">
      <formula>J2="Fail"</formula>
    </cfRule>
    <cfRule type="expression" dxfId="3" priority="3">
      <formula>J2="Blocked"</formula>
    </cfRule>
    <cfRule type="expression" dxfId="2" priority="4">
      <formula>J2="Not Run"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_Lists!$A$2:$A$5</xm:f>
          </x14:formula1>
          <xm:sqref>J2:J96</xm:sqref>
        </x14:dataValidation>
        <x14:dataValidation type="list" xr:uid="{00000000-0002-0000-0000-000001000000}">
          <x14:formula1>
            <xm:f>_Lists!$B$2:$B$5</xm:f>
          </x14:formula1>
          <xm:sqref>E2:E96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4.25"/>
  <cols>
    <col min="1" max="1" width="24" customWidth="1"/>
    <col min="2" max="2" width="16" customWidth="1"/>
    <col min="4" max="4" width="28" customWidth="1"/>
    <col min="5" max="7" width="12" customWidth="1"/>
  </cols>
  <sheetData>
    <row r="1" spans="1:7" ht="20.25">
      <c r="A1" s="6" t="s">
        <v>396</v>
      </c>
      <c r="B1" s="6"/>
      <c r="C1" s="6"/>
      <c r="D1" s="6"/>
      <c r="E1" s="6"/>
      <c r="F1" s="6"/>
    </row>
    <row r="3" spans="1:7" ht="15">
      <c r="A3" s="1" t="s">
        <v>397</v>
      </c>
      <c r="B3" s="1" t="s">
        <v>398</v>
      </c>
      <c r="D3" s="1" t="s">
        <v>1</v>
      </c>
      <c r="E3" s="1" t="s">
        <v>399</v>
      </c>
      <c r="F3" s="1" t="s">
        <v>400</v>
      </c>
      <c r="G3" s="1" t="s">
        <v>401</v>
      </c>
    </row>
    <row r="4" spans="1:7">
      <c r="A4" s="2" t="s">
        <v>402</v>
      </c>
      <c r="B4" s="2">
        <f>COUNTA('Full Use Test'!A2:A96)</f>
        <v>95</v>
      </c>
      <c r="D4" t="s">
        <v>13</v>
      </c>
      <c r="E4">
        <f>COUNTIF('Full Use Test'!B:B,D4)</f>
        <v>17</v>
      </c>
      <c r="F4">
        <f>COUNTIFS('Full Use Test'!B:B,D4,'Full Use Test'!J:J,"Pass")</f>
        <v>0</v>
      </c>
      <c r="G4">
        <f>COUNTIFS('Full Use Test'!B:B,D4,'Full Use Test'!J:J,"Fail")</f>
        <v>0</v>
      </c>
    </row>
    <row r="5" spans="1:7">
      <c r="A5" s="2" t="s">
        <v>403</v>
      </c>
      <c r="B5" s="2">
        <f>COUNTIF('Full Use Test'!J2:J96,"Pass")</f>
        <v>0</v>
      </c>
      <c r="D5" t="s">
        <v>95</v>
      </c>
      <c r="E5">
        <f>COUNTIF('Full Use Test'!B:B,D5)</f>
        <v>16</v>
      </c>
      <c r="F5">
        <f>COUNTIFS('Full Use Test'!B:B,D5,'Full Use Test'!J:J,"Pass")</f>
        <v>0</v>
      </c>
      <c r="G5">
        <f>COUNTIFS('Full Use Test'!B:B,D5,'Full Use Test'!J:J,"Fail")</f>
        <v>0</v>
      </c>
    </row>
    <row r="6" spans="1:7">
      <c r="A6" s="2" t="s">
        <v>404</v>
      </c>
      <c r="B6" s="2">
        <f>COUNTIF('Full Use Test'!J2:J96,"Fail")</f>
        <v>0</v>
      </c>
      <c r="D6" t="s">
        <v>146</v>
      </c>
      <c r="E6">
        <f>COUNTIF('Full Use Test'!B:B,D6)</f>
        <v>14</v>
      </c>
      <c r="F6">
        <f>COUNTIFS('Full Use Test'!B:B,D6,'Full Use Test'!J:J,"Pass")</f>
        <v>0</v>
      </c>
      <c r="G6">
        <f>COUNTIFS('Full Use Test'!B:B,D6,'Full Use Test'!J:J,"Fail")</f>
        <v>0</v>
      </c>
    </row>
    <row r="7" spans="1:7">
      <c r="A7" s="2" t="s">
        <v>405</v>
      </c>
      <c r="B7" s="2">
        <f>COUNTIF('Full Use Test'!J2:J96,"Blocked")</f>
        <v>0</v>
      </c>
      <c r="D7" t="s">
        <v>209</v>
      </c>
      <c r="E7">
        <f>COUNTIF('Full Use Test'!B:B,D7)</f>
        <v>5</v>
      </c>
      <c r="F7">
        <f>COUNTIFS('Full Use Test'!B:B,D7,'Full Use Test'!J:J,"Pass")</f>
        <v>0</v>
      </c>
      <c r="G7">
        <f>COUNTIFS('Full Use Test'!B:B,D7,'Full Use Test'!J:J,"Fail")</f>
        <v>0</v>
      </c>
    </row>
    <row r="8" spans="1:7">
      <c r="A8" s="2" t="s">
        <v>21</v>
      </c>
      <c r="B8" s="2">
        <f>COUNTIF('Full Use Test'!J2:J96,"Not Run")</f>
        <v>95</v>
      </c>
      <c r="D8" t="s">
        <v>235</v>
      </c>
      <c r="E8">
        <f>COUNTIF('Full Use Test'!B:B,D8)</f>
        <v>4</v>
      </c>
      <c r="F8">
        <f>COUNTIFS('Full Use Test'!B:B,D8,'Full Use Test'!J:J,"Pass")</f>
        <v>0</v>
      </c>
      <c r="G8">
        <f>COUNTIFS('Full Use Test'!B:B,D8,'Full Use Test'!J:J,"Fail")</f>
        <v>0</v>
      </c>
    </row>
    <row r="9" spans="1:7">
      <c r="A9" s="2"/>
      <c r="B9" s="2"/>
      <c r="D9" t="s">
        <v>256</v>
      </c>
      <c r="E9">
        <f>COUNTIF('Full Use Test'!B:B,D9)</f>
        <v>14</v>
      </c>
      <c r="F9">
        <f>COUNTIFS('Full Use Test'!B:B,D9,'Full Use Test'!J:J,"Pass")</f>
        <v>0</v>
      </c>
      <c r="G9">
        <f>COUNTIFS('Full Use Test'!B:B,D9,'Full Use Test'!J:J,"Fail")</f>
        <v>0</v>
      </c>
    </row>
    <row r="10" spans="1:7" ht="15">
      <c r="A10" s="1" t="s">
        <v>406</v>
      </c>
      <c r="B10" s="1" t="s">
        <v>407</v>
      </c>
      <c r="D10" t="s">
        <v>302</v>
      </c>
      <c r="E10">
        <f>COUNTIF('Full Use Test'!B:B,D10)</f>
        <v>6</v>
      </c>
      <c r="F10">
        <f>COUNTIFS('Full Use Test'!B:B,D10,'Full Use Test'!J:J,"Pass")</f>
        <v>0</v>
      </c>
      <c r="G10">
        <f>COUNTIFS('Full Use Test'!B:B,D10,'Full Use Test'!J:J,"Fail")</f>
        <v>0</v>
      </c>
    </row>
    <row r="11" spans="1:7">
      <c r="A11" s="2" t="s">
        <v>408</v>
      </c>
      <c r="B11" s="2">
        <f>COUNTIFS('Full Use Test'!E2:E96,"Critical",'Full Use Test'!J2:J96,"Fail")</f>
        <v>0</v>
      </c>
      <c r="D11" t="s">
        <v>330</v>
      </c>
      <c r="E11">
        <f>COUNTIF('Full Use Test'!B:B,D11)</f>
        <v>6</v>
      </c>
      <c r="F11">
        <f>COUNTIFS('Full Use Test'!B:B,D11,'Full Use Test'!J:J,"Pass")</f>
        <v>0</v>
      </c>
      <c r="G11">
        <f>COUNTIFS('Full Use Test'!B:B,D11,'Full Use Test'!J:J,"Fail")</f>
        <v>0</v>
      </c>
    </row>
    <row r="12" spans="1:7">
      <c r="A12" s="2" t="s">
        <v>409</v>
      </c>
      <c r="B12" s="2">
        <f>COUNTIFS('Full Use Test'!E2:E96,"Critical",'Full Use Test'!J2:J96,"Blocked")</f>
        <v>0</v>
      </c>
      <c r="D12" t="s">
        <v>355</v>
      </c>
      <c r="E12">
        <f>COUNTIF('Full Use Test'!B:B,D12)</f>
        <v>9</v>
      </c>
      <c r="F12">
        <f>COUNTIFS('Full Use Test'!B:B,D12,'Full Use Test'!J:J,"Pass")</f>
        <v>0</v>
      </c>
      <c r="G12">
        <f>COUNTIFS('Full Use Test'!B:B,D12,'Full Use Test'!J:J,"Fail")</f>
        <v>0</v>
      </c>
    </row>
    <row r="13" spans="1:7" ht="15">
      <c r="A13" s="2" t="s">
        <v>410</v>
      </c>
      <c r="B13" s="2" t="str">
        <f>IF(AND(B11=0,B12=0,B8=0),"YES","NO")</f>
        <v>NO</v>
      </c>
      <c r="D13" t="s">
        <v>379</v>
      </c>
      <c r="E13">
        <f>COUNTIF('Full Use Test'!B:B,D13)</f>
        <v>4</v>
      </c>
      <c r="F13">
        <f>COUNTIFS('Full Use Test'!B:B,D13,'Full Use Test'!J:J,"Pass")</f>
        <v>0</v>
      </c>
      <c r="G13">
        <f>COUNTIFS('Full Use Test'!B:B,D13,'Full Use Test'!J:J,"Fail")</f>
        <v>0</v>
      </c>
    </row>
  </sheetData>
  <mergeCells count="1">
    <mergeCell ref="A1:F1"/>
  </mergeCells>
  <conditionalFormatting sqref="B13">
    <cfRule type="expression" dxfId="1" priority="1">
      <formula>B13="YES"</formula>
    </cfRule>
    <cfRule type="expression" dxfId="0" priority="2">
      <formula>B13="NO"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workbookViewId="0"/>
  </sheetViews>
  <sheetFormatPr defaultRowHeight="14.25"/>
  <cols>
    <col min="1" max="2" width="12" customWidth="1"/>
    <col min="3" max="3" width="18" customWidth="1"/>
    <col min="4" max="4" width="10" customWidth="1"/>
    <col min="5" max="5" width="18" customWidth="1"/>
    <col min="6" max="6" width="12" customWidth="1"/>
    <col min="7" max="7" width="16" customWidth="1"/>
    <col min="8" max="8" width="32" customWidth="1"/>
    <col min="9" max="9" width="44" customWidth="1"/>
    <col min="10" max="11" width="36" customWidth="1"/>
    <col min="12" max="12" width="14" customWidth="1"/>
    <col min="13" max="13" width="28" customWidth="1"/>
  </cols>
  <sheetData>
    <row r="1" spans="1:13" ht="15">
      <c r="A1" s="1" t="s">
        <v>10</v>
      </c>
      <c r="B1" s="1" t="s">
        <v>411</v>
      </c>
      <c r="C1" s="1" t="s">
        <v>412</v>
      </c>
      <c r="D1" s="1" t="s">
        <v>413</v>
      </c>
      <c r="E1" s="1" t="s">
        <v>2</v>
      </c>
      <c r="F1" s="1" t="s">
        <v>414</v>
      </c>
      <c r="G1" s="1" t="s">
        <v>5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9</v>
      </c>
      <c r="M1" s="1" t="s">
        <v>419</v>
      </c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</sheetData>
  <dataValidations count="2">
    <dataValidation type="list" sqref="F2:F101" xr:uid="{00000000-0002-0000-0200-000000000000}">
      <formula1>"Critical,High,Medium,Low"</formula1>
    </dataValidation>
    <dataValidation type="list" sqref="L2:L101" xr:uid="{00000000-0002-0000-0200-000001000000}">
      <formula1>"Open,Investigating,Fixed,Retest,Closed,Won't Fix"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4.25"/>
  <cols>
    <col min="1" max="1" width="25" customWidth="1"/>
    <col min="2" max="2" width="85" customWidth="1"/>
  </cols>
  <sheetData>
    <row r="1" spans="1:2" ht="30" customHeight="1">
      <c r="A1" s="6" t="s">
        <v>420</v>
      </c>
      <c r="B1" s="7"/>
    </row>
    <row r="2" spans="1:2" ht="28.5">
      <c r="A2" s="5" t="s">
        <v>421</v>
      </c>
      <c r="B2" s="2" t="s">
        <v>422</v>
      </c>
    </row>
    <row r="3" spans="1:2" ht="28.5">
      <c r="A3" s="5" t="s">
        <v>423</v>
      </c>
      <c r="B3" s="2" t="s">
        <v>424</v>
      </c>
    </row>
    <row r="4" spans="1:2" ht="28.5">
      <c r="A4" s="5" t="s">
        <v>425</v>
      </c>
      <c r="B4" s="2" t="s">
        <v>426</v>
      </c>
    </row>
    <row r="5" spans="1:2" ht="28.5">
      <c r="A5" s="5" t="s">
        <v>427</v>
      </c>
      <c r="B5" s="2" t="s">
        <v>428</v>
      </c>
    </row>
    <row r="6" spans="1:2" ht="42.75">
      <c r="A6" s="5" t="s">
        <v>429</v>
      </c>
      <c r="B6" s="2" t="s">
        <v>430</v>
      </c>
    </row>
    <row r="7" spans="1:2" ht="28.5">
      <c r="A7" s="5" t="s">
        <v>431</v>
      </c>
      <c r="B7" s="2" t="s">
        <v>432</v>
      </c>
    </row>
    <row r="8" spans="1:2" ht="28.5">
      <c r="A8" s="5" t="s">
        <v>433</v>
      </c>
      <c r="B8" s="2" t="s">
        <v>434</v>
      </c>
    </row>
    <row r="9" spans="1:2" ht="15">
      <c r="A9" s="5" t="s">
        <v>435</v>
      </c>
      <c r="B9" s="2" t="s">
        <v>436</v>
      </c>
    </row>
    <row r="10" spans="1:2" ht="28.5">
      <c r="A10" s="5" t="s">
        <v>437</v>
      </c>
      <c r="B10" s="2" t="s">
        <v>438</v>
      </c>
    </row>
    <row r="11" spans="1:2" ht="28.5">
      <c r="A11" s="5" t="s">
        <v>439</v>
      </c>
      <c r="B11" s="2" t="s">
        <v>440</v>
      </c>
    </row>
    <row r="12" spans="1:2" ht="42.75">
      <c r="A12" s="5" t="s">
        <v>441</v>
      </c>
      <c r="B12" s="2" t="s">
        <v>442</v>
      </c>
    </row>
    <row r="13" spans="1:2" ht="15">
      <c r="A13" s="5"/>
      <c r="B13" s="2"/>
    </row>
    <row r="14" spans="1:2" ht="15">
      <c r="A14" s="5"/>
      <c r="B14" s="2"/>
    </row>
    <row r="15" spans="1:2" ht="15">
      <c r="A15" s="5"/>
      <c r="B15" s="2"/>
    </row>
    <row r="16" spans="1:2" ht="15">
      <c r="A16" s="5"/>
      <c r="B16" s="2"/>
    </row>
    <row r="17" spans="1:2" ht="15">
      <c r="A17" s="5"/>
      <c r="B17" s="2"/>
    </row>
    <row r="18" spans="1:2" ht="15">
      <c r="A18" s="5"/>
      <c r="B18" s="2"/>
    </row>
    <row r="19" spans="1:2" ht="15">
      <c r="A19" s="5"/>
      <c r="B19" s="2"/>
    </row>
    <row r="20" spans="1:2" ht="15">
      <c r="A20" s="5"/>
      <c r="B20" s="2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25"/>
  <cols>
    <col min="1" max="2" width="16" customWidth="1"/>
  </cols>
  <sheetData>
    <row r="1" spans="1:2">
      <c r="A1" t="s">
        <v>9</v>
      </c>
      <c r="B1" t="s">
        <v>4</v>
      </c>
    </row>
    <row r="2" spans="1:2">
      <c r="A2" t="s">
        <v>21</v>
      </c>
      <c r="B2" t="s">
        <v>16</v>
      </c>
    </row>
    <row r="3" spans="1:2">
      <c r="A3" t="s">
        <v>400</v>
      </c>
      <c r="B3" t="s">
        <v>32</v>
      </c>
    </row>
    <row r="4" spans="1:2">
      <c r="A4" t="s">
        <v>401</v>
      </c>
      <c r="B4" t="s">
        <v>192</v>
      </c>
    </row>
    <row r="5" spans="1:2">
      <c r="A5" t="s">
        <v>405</v>
      </c>
      <c r="B5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Use Test</vt:lpstr>
      <vt:lpstr>Dashboard</vt:lpstr>
      <vt:lpstr>Bug Log</vt:lpstr>
      <vt:lpstr>Tester Guide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Maxwell</dc:creator>
  <cp:lastModifiedBy>Meghan Maxwell</cp:lastModifiedBy>
  <dcterms:created xsi:type="dcterms:W3CDTF">2026-08-09T21:30:00Z</dcterms:created>
  <dcterms:modified xsi:type="dcterms:W3CDTF">2026-08-09T21:30:00Z</dcterms:modified>
</cp:coreProperties>
</file>